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_PZ\Downloads\Archivos dowloand\"/>
    </mc:Choice>
  </mc:AlternateContent>
  <xr:revisionPtr revIDLastSave="0" documentId="13_ncr:1_{B4D7A123-1E7A-4EAF-981C-722EE42952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ER V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97kDVSbxUE+otYi5FvTh+bSlMI6BEKD34m5fIzzVnik="/>
    </ext>
  </extLst>
</workbook>
</file>

<file path=xl/calcChain.xml><?xml version="1.0" encoding="utf-8"?>
<calcChain xmlns="http://schemas.openxmlformats.org/spreadsheetml/2006/main">
  <c r="I35" i="2" l="1"/>
  <c r="H35" i="2"/>
  <c r="I34" i="2"/>
  <c r="H34" i="2"/>
  <c r="I33" i="2"/>
  <c r="H33" i="2"/>
  <c r="L29" i="2"/>
  <c r="F29" i="2"/>
  <c r="L28" i="2"/>
  <c r="F28" i="2"/>
  <c r="L27" i="2"/>
  <c r="F27" i="2"/>
</calcChain>
</file>

<file path=xl/sharedStrings.xml><?xml version="1.0" encoding="utf-8"?>
<sst xmlns="http://schemas.openxmlformats.org/spreadsheetml/2006/main" count="263" uniqueCount="193">
  <si>
    <t xml:space="preserve">Conductor </t>
  </si>
  <si>
    <t>Camion Entregas</t>
  </si>
  <si>
    <t>Envio</t>
  </si>
  <si>
    <t>CC</t>
  </si>
  <si>
    <t xml:space="preserve">Nombre </t>
  </si>
  <si>
    <t>Telefono</t>
  </si>
  <si>
    <t>Pase</t>
  </si>
  <si>
    <t>Direccion</t>
  </si>
  <si>
    <t>ID</t>
  </si>
  <si>
    <t>Placa</t>
  </si>
  <si>
    <t>Modelo</t>
  </si>
  <si>
    <t>Seguimiento</t>
  </si>
  <si>
    <t>Carlos</t>
  </si>
  <si>
    <t>PASE-26570</t>
  </si>
  <si>
    <t>Calle 64 #89-24, Pereira</t>
  </si>
  <si>
    <t>SOAT-476258</t>
  </si>
  <si>
    <t>FQJ-911</t>
  </si>
  <si>
    <t>Verificada</t>
  </si>
  <si>
    <t>FH</t>
  </si>
  <si>
    <t>Entregado</t>
  </si>
  <si>
    <t>Luis</t>
  </si>
  <si>
    <t>PASE-21063</t>
  </si>
  <si>
    <t>Calle 73 #10-18, Cartagena</t>
  </si>
  <si>
    <t>SOAT-749960</t>
  </si>
  <si>
    <t>SWB-253</t>
  </si>
  <si>
    <t>María</t>
  </si>
  <si>
    <t>PASE-98706</t>
  </si>
  <si>
    <t>Calle 47 #22-40, Pereira</t>
  </si>
  <si>
    <t>SOAT-735950</t>
  </si>
  <si>
    <t>JWW-553</t>
  </si>
  <si>
    <t>Actros</t>
  </si>
  <si>
    <t>SubTotal</t>
  </si>
  <si>
    <t>Descripcion</t>
  </si>
  <si>
    <t xml:space="preserve">Materia Prima </t>
  </si>
  <si>
    <t xml:space="preserve">Produccion </t>
  </si>
  <si>
    <t>Orden Ventas</t>
  </si>
  <si>
    <t xml:space="preserve">Tipo </t>
  </si>
  <si>
    <t xml:space="preserve">Cantidad </t>
  </si>
  <si>
    <t xml:space="preserve">Grosor </t>
  </si>
  <si>
    <t>Precio Unitario</t>
  </si>
  <si>
    <t xml:space="preserve">Color </t>
  </si>
  <si>
    <t xml:space="preserve">Hora Inicio </t>
  </si>
  <si>
    <t>Hora FIn</t>
  </si>
  <si>
    <t>Estado</t>
  </si>
  <si>
    <t xml:space="preserve">Fecha </t>
  </si>
  <si>
    <t>Cantidad Solicitada</t>
  </si>
  <si>
    <t>Vinipel</t>
  </si>
  <si>
    <t>No aplica</t>
  </si>
  <si>
    <t>Pausado</t>
  </si>
  <si>
    <t>Acrilico</t>
  </si>
  <si>
    <t>Colores primarios</t>
  </si>
  <si>
    <t>Pegamento</t>
  </si>
  <si>
    <t>Cancelado</t>
  </si>
  <si>
    <t xml:space="preserve">Cliente </t>
  </si>
  <si>
    <t>Naranja</t>
  </si>
  <si>
    <t xml:space="preserve">Direccion </t>
  </si>
  <si>
    <t xml:space="preserve">Telefono </t>
  </si>
  <si>
    <t>Localidad</t>
  </si>
  <si>
    <t>Rojo</t>
  </si>
  <si>
    <t>Carrera 77 #23-8</t>
  </si>
  <si>
    <t>Bogotá</t>
  </si>
  <si>
    <t>Verde</t>
  </si>
  <si>
    <t>Carrera 78 #80-2</t>
  </si>
  <si>
    <t>Pereira</t>
  </si>
  <si>
    <t>Carrera 14 #33-34</t>
  </si>
  <si>
    <t>Cali</t>
  </si>
  <si>
    <t>Proveedor</t>
  </si>
  <si>
    <t>RUT-866815103-6</t>
  </si>
  <si>
    <t>NIT-803991623</t>
  </si>
  <si>
    <t>RUT-940550286-8</t>
  </si>
  <si>
    <t>NIT-864395242</t>
  </si>
  <si>
    <t>RUT-972468367-2</t>
  </si>
  <si>
    <t>NIT-805053259</t>
  </si>
  <si>
    <t>Copia_Envio</t>
  </si>
  <si>
    <t>Copia_Factura</t>
  </si>
  <si>
    <t xml:space="preserve">Copia_Orden Ventas </t>
  </si>
  <si>
    <t>Copia_Cliente</t>
  </si>
  <si>
    <t>OV-01</t>
  </si>
  <si>
    <t>Orden de venta #11 - Especial</t>
  </si>
  <si>
    <t>OP-01</t>
  </si>
  <si>
    <t>OV-02</t>
  </si>
  <si>
    <t>Orden de venta #22- Especial</t>
  </si>
  <si>
    <t>OP-02</t>
  </si>
  <si>
    <t>OV-03</t>
  </si>
  <si>
    <t>Orden de venta #33- Especial</t>
  </si>
  <si>
    <t>OP-03</t>
  </si>
  <si>
    <t xml:space="preserve">Transforma </t>
  </si>
  <si>
    <t>ID_Produccion</t>
  </si>
  <si>
    <t xml:space="preserve">ID_Materia Prima </t>
  </si>
  <si>
    <t>MP-001</t>
  </si>
  <si>
    <t>MP-002</t>
  </si>
  <si>
    <t>MP-003</t>
  </si>
  <si>
    <t>Copia_Materia Prima</t>
  </si>
  <si>
    <t>PF-001</t>
  </si>
  <si>
    <t>PF-002</t>
  </si>
  <si>
    <t>PF-003</t>
  </si>
  <si>
    <t>Provee</t>
  </si>
  <si>
    <t>ID_Proveedor</t>
  </si>
  <si>
    <t>TM-01</t>
  </si>
  <si>
    <t>TM-02</t>
  </si>
  <si>
    <t>TM-03</t>
  </si>
  <si>
    <t>TM-04</t>
  </si>
  <si>
    <t>TM-05</t>
  </si>
  <si>
    <t>Movimiento de Inventario</t>
  </si>
  <si>
    <t>Fecha Ingreso</t>
  </si>
  <si>
    <t>Fecha Salida</t>
  </si>
  <si>
    <t>Tipo Movimiento</t>
  </si>
  <si>
    <t>Cantidad (+/-)</t>
  </si>
  <si>
    <t>Valor Total</t>
  </si>
  <si>
    <t>MI-001</t>
  </si>
  <si>
    <t>2024-01-02</t>
  </si>
  <si>
    <t>2024-01-07</t>
  </si>
  <si>
    <t>Compra a Proveedor</t>
  </si>
  <si>
    <t>MI-002</t>
  </si>
  <si>
    <t>2024-04-12</t>
  </si>
  <si>
    <t>Consumo en Producción</t>
  </si>
  <si>
    <t>MI-003</t>
  </si>
  <si>
    <t>2024-06-01</t>
  </si>
  <si>
    <t>Ajuste de Inventario</t>
  </si>
  <si>
    <t>MI-004</t>
  </si>
  <si>
    <t>2024-01-05</t>
  </si>
  <si>
    <t>2024-01-10</t>
  </si>
  <si>
    <t>MI-005</t>
  </si>
  <si>
    <t>2024-06-05</t>
  </si>
  <si>
    <t>MI-006</t>
  </si>
  <si>
    <t>2024-07-01</t>
  </si>
  <si>
    <t>Venta Directa</t>
  </si>
  <si>
    <t>MI-007</t>
  </si>
  <si>
    <t>2024-01-03</t>
  </si>
  <si>
    <t>2024-01-08</t>
  </si>
  <si>
    <t>MI-008</t>
  </si>
  <si>
    <t>2024-07-28</t>
  </si>
  <si>
    <t>MI-009</t>
  </si>
  <si>
    <t>2024-08-15</t>
  </si>
  <si>
    <t>Devolución a Proveedor</t>
  </si>
  <si>
    <t>Producto Terminado</t>
  </si>
  <si>
    <t>Nombre</t>
  </si>
  <si>
    <t>Cantidad</t>
  </si>
  <si>
    <t>Color</t>
  </si>
  <si>
    <t>Copia_Orden Producción</t>
  </si>
  <si>
    <t>Copia_Mov. Inventario</t>
  </si>
  <si>
    <t>Tejas Acrílicas</t>
  </si>
  <si>
    <t>OP-001</t>
  </si>
  <si>
    <t>OP-002</t>
  </si>
  <si>
    <t>OP-003</t>
  </si>
  <si>
    <t>Descripción</t>
  </si>
  <si>
    <t>ID_Mov. Inventario</t>
  </si>
  <si>
    <t>PRV-001</t>
  </si>
  <si>
    <t>PRV-002</t>
  </si>
  <si>
    <t>PRV-003</t>
  </si>
  <si>
    <t>RUT</t>
  </si>
  <si>
    <t>NIT</t>
  </si>
  <si>
    <t>Teléfono</t>
  </si>
  <si>
    <t>3136132195</t>
  </si>
  <si>
    <t>Vinipeles del Valle SAS</t>
  </si>
  <si>
    <t>3203384190</t>
  </si>
  <si>
    <t>Acrílicos Andinos Ltda</t>
  </si>
  <si>
    <t>3135177740</t>
  </si>
  <si>
    <t>Pegamentos Industriales SA</t>
  </si>
  <si>
    <t>7,35 cm</t>
  </si>
  <si>
    <t>Completado</t>
  </si>
  <si>
    <t>Factura</t>
  </si>
  <si>
    <t>Dirección</t>
  </si>
  <si>
    <t>Total (IVA 19%)</t>
  </si>
  <si>
    <t>Copia_Orden Ventas</t>
  </si>
  <si>
    <t>FAC-001</t>
  </si>
  <si>
    <t>Bucaramanga Cra 94 #12-34</t>
  </si>
  <si>
    <t>Tejas Acrílicas - Naranja x21</t>
  </si>
  <si>
    <t>OV-001</t>
  </si>
  <si>
    <t>FAC-002</t>
  </si>
  <si>
    <t>Bogotá Av 68 #45-12</t>
  </si>
  <si>
    <t>Tejas Acrílicas - Rojo x2</t>
  </si>
  <si>
    <t>OV-002</t>
  </si>
  <si>
    <t>FAC-003</t>
  </si>
  <si>
    <t>Medellín Calle 50 #30-15</t>
  </si>
  <si>
    <t>Tejas Acrílicas - Verde x11</t>
  </si>
  <si>
    <t>OV-003</t>
  </si>
  <si>
    <t>Fecha</t>
  </si>
  <si>
    <t>ENV-001</t>
  </si>
  <si>
    <t>ENV-002</t>
  </si>
  <si>
    <t>2024-12-13</t>
  </si>
  <si>
    <t>ENV-003</t>
  </si>
  <si>
    <t>2025-03-05</t>
  </si>
  <si>
    <t>En tránsito</t>
  </si>
  <si>
    <t>SOAT</t>
  </si>
  <si>
    <t>Tecnomecánica</t>
  </si>
  <si>
    <t>Copia_ID_Conductor</t>
  </si>
  <si>
    <t>CAM-001</t>
  </si>
  <si>
    <t>1019902482</t>
  </si>
  <si>
    <t>CAM-002</t>
  </si>
  <si>
    <t>1073692451</t>
  </si>
  <si>
    <t>CAM-003</t>
  </si>
  <si>
    <t>1358790351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</si>
</sst>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164" formatCode="yyyy\-mm\-dd"/>
    <numFmt numFmtId="165" formatCode="\$#,##0.00"/>
  </numFmts>
  <fonts count="15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9"/>
      <color theme="1"/>
      <name val="Arial"/>
    </font>
    <font>
      <sz val="10"/>
      <color rgb="FF000000"/>
      <name val="Arial"/>
    </font>
    <font>
      <b/>
      <sz val="11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sz val="9"/>
      <color rgb="FF006400"/>
      <name val="Arial"/>
      <charset val="1"/>
    </font>
    <font>
      <sz val="9"/>
      <color rgb="FFC00000"/>
      <name val="Arial"/>
      <charset val="1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2"/>
      <name val="Arial"/>
      <family val="2"/>
    </font>
    <font>
      <b/>
      <sz val="9"/>
      <color theme="2"/>
      <name val="Arial"/>
      <family val="2"/>
    </font>
    <font>
      <b/>
      <sz val="9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CC99FF"/>
        <bgColor rgb="FF0066CC"/>
      </patternFill>
    </fill>
    <fill>
      <patternFill patternType="solid">
        <fgColor rgb="FFCC99FF"/>
        <bgColor rgb="FFB4A7D6"/>
      </patternFill>
    </fill>
    <fill>
      <patternFill patternType="solid">
        <fgColor rgb="FF002060"/>
        <bgColor rgb="FFB4A7D6"/>
      </patternFill>
    </fill>
    <fill>
      <patternFill patternType="solid">
        <fgColor rgb="FF002060"/>
        <bgColor rgb="FF003366"/>
      </patternFill>
    </fill>
    <fill>
      <patternFill patternType="solid">
        <fgColor rgb="FF00206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5" xfId="0" applyFont="1" applyBorder="1" applyAlignment="1">
      <alignment horizontal="left"/>
    </xf>
    <xf numFmtId="0" fontId="1" fillId="0" borderId="4" xfId="0" applyFont="1" applyBorder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 vertical="top"/>
    </xf>
    <xf numFmtId="164" fontId="3" fillId="0" borderId="4" xfId="0" applyNumberFormat="1" applyFont="1" applyBorder="1" applyAlignment="1">
      <alignment horizontal="left"/>
    </xf>
    <xf numFmtId="0" fontId="3" fillId="0" borderId="5" xfId="0" applyFont="1" applyBorder="1" applyAlignment="1">
      <alignment horizontal="left" vertical="top"/>
    </xf>
    <xf numFmtId="20" fontId="3" fillId="0" borderId="4" xfId="0" applyNumberFormat="1" applyFont="1" applyBorder="1" applyAlignment="1">
      <alignment horizontal="left"/>
    </xf>
    <xf numFmtId="164" fontId="3" fillId="0" borderId="0" xfId="0" applyNumberFormat="1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/>
    </xf>
    <xf numFmtId="20" fontId="3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top"/>
    </xf>
    <xf numFmtId="0" fontId="2" fillId="0" borderId="3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0" fillId="0" borderId="0" xfId="0"/>
    <xf numFmtId="0" fontId="7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165" fontId="7" fillId="0" borderId="10" xfId="0" applyNumberFormat="1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 vertical="center" wrapText="1"/>
    </xf>
    <xf numFmtId="8" fontId="3" fillId="0" borderId="5" xfId="0" applyNumberFormat="1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left"/>
    </xf>
    <xf numFmtId="0" fontId="11" fillId="2" borderId="2" xfId="0" applyFont="1" applyFill="1" applyBorder="1"/>
    <xf numFmtId="0" fontId="11" fillId="2" borderId="3" xfId="0" applyFont="1" applyFill="1" applyBorder="1"/>
    <xf numFmtId="0" fontId="11" fillId="4" borderId="8" xfId="0" applyFont="1" applyFill="1" applyBorder="1" applyAlignment="1">
      <alignment horizontal="center"/>
    </xf>
    <xf numFmtId="0" fontId="11" fillId="2" borderId="12" xfId="0" applyFont="1" applyFill="1" applyBorder="1"/>
    <xf numFmtId="0" fontId="11" fillId="2" borderId="9" xfId="0" applyFont="1" applyFill="1" applyBorder="1"/>
    <xf numFmtId="0" fontId="3" fillId="0" borderId="10" xfId="0" applyFont="1" applyBorder="1" applyAlignment="1">
      <alignment horizontal="left"/>
    </xf>
    <xf numFmtId="0" fontId="3" fillId="0" borderId="10" xfId="0" applyFont="1" applyBorder="1" applyAlignment="1">
      <alignment horizontal="left" wrapText="1"/>
    </xf>
    <xf numFmtId="0" fontId="12" fillId="5" borderId="10" xfId="0" applyFont="1" applyFill="1" applyBorder="1"/>
    <xf numFmtId="0" fontId="11" fillId="3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/>
    </xf>
    <xf numFmtId="0" fontId="12" fillId="5" borderId="4" xfId="0" applyFont="1" applyFill="1" applyBorder="1"/>
    <xf numFmtId="0" fontId="12" fillId="5" borderId="1" xfId="0" applyFont="1" applyFill="1" applyBorder="1"/>
    <xf numFmtId="0" fontId="12" fillId="7" borderId="3" xfId="0" applyFont="1" applyFill="1" applyBorder="1"/>
    <xf numFmtId="0" fontId="12" fillId="5" borderId="1" xfId="0" applyFont="1" applyFill="1" applyBorder="1" applyAlignment="1">
      <alignment horizontal="center"/>
    </xf>
    <xf numFmtId="0" fontId="13" fillId="5" borderId="7" xfId="0" applyFont="1" applyFill="1" applyBorder="1" applyAlignment="1">
      <alignment horizontal="left" vertical="top"/>
    </xf>
    <xf numFmtId="20" fontId="13" fillId="5" borderId="8" xfId="0" applyNumberFormat="1" applyFont="1" applyFill="1" applyBorder="1" applyAlignment="1">
      <alignment horizontal="left" vertical="top"/>
    </xf>
    <xf numFmtId="0" fontId="12" fillId="7" borderId="9" xfId="0" applyFont="1" applyFill="1" applyBorder="1"/>
    <xf numFmtId="0" fontId="10" fillId="4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11" xfId="0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CC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1</xdr:row>
      <xdr:rowOff>114299</xdr:rowOff>
    </xdr:from>
    <xdr:to>
      <xdr:col>5</xdr:col>
      <xdr:colOff>123825</xdr:colOff>
      <xdr:row>7</xdr:row>
      <xdr:rowOff>47625</xdr:rowOff>
    </xdr:to>
    <xdr:cxnSp macro="">
      <xdr:nvCxnSpPr>
        <xdr:cNvPr id="59" name="Conector recto de flecha 58">
          <a:extLst>
            <a:ext uri="{FF2B5EF4-FFF2-40B4-BE49-F238E27FC236}">
              <a16:creationId xmlns:a16="http://schemas.microsoft.com/office/drawing/2014/main" id="{75CD9B5A-AB7B-7AF2-04CF-1F78B1AA6D62}"/>
            </a:ext>
          </a:extLst>
        </xdr:cNvPr>
        <xdr:cNvCxnSpPr/>
      </xdr:nvCxnSpPr>
      <xdr:spPr>
        <a:xfrm>
          <a:off x="504825" y="314324"/>
          <a:ext cx="5619750" cy="1133476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561975</xdr:colOff>
      <xdr:row>7</xdr:row>
      <xdr:rowOff>104775</xdr:rowOff>
    </xdr:from>
    <xdr:to>
      <xdr:col>6</xdr:col>
      <xdr:colOff>200025</xdr:colOff>
      <xdr:row>12</xdr:row>
      <xdr:rowOff>85725</xdr:rowOff>
    </xdr:to>
    <xdr:cxnSp macro="">
      <xdr:nvCxnSpPr>
        <xdr:cNvPr id="60" name="Conector recto de flecha 59">
          <a:extLst>
            <a:ext uri="{FF2B5EF4-FFF2-40B4-BE49-F238E27FC236}">
              <a16:creationId xmlns:a16="http://schemas.microsoft.com/office/drawing/2014/main" id="{6736C1BE-2E57-4143-9B77-3C19F2D7E150}"/>
            </a:ext>
          </a:extLst>
        </xdr:cNvPr>
        <xdr:cNvCxnSpPr/>
      </xdr:nvCxnSpPr>
      <xdr:spPr>
        <a:xfrm flipV="1">
          <a:off x="2438400" y="1504950"/>
          <a:ext cx="5353050" cy="9810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695325</xdr:colOff>
      <xdr:row>13</xdr:row>
      <xdr:rowOff>133350</xdr:rowOff>
    </xdr:from>
    <xdr:to>
      <xdr:col>4</xdr:col>
      <xdr:colOff>619125</xdr:colOff>
      <xdr:row>18</xdr:row>
      <xdr:rowOff>85725</xdr:rowOff>
    </xdr:to>
    <xdr:cxnSp macro="">
      <xdr:nvCxnSpPr>
        <xdr:cNvPr id="65" name="Conector recto de flecha 64">
          <a:extLst>
            <a:ext uri="{FF2B5EF4-FFF2-40B4-BE49-F238E27FC236}">
              <a16:creationId xmlns:a16="http://schemas.microsoft.com/office/drawing/2014/main" id="{574E14C1-0A43-4653-A6C9-7EE2B9EA249B}"/>
            </a:ext>
          </a:extLst>
        </xdr:cNvPr>
        <xdr:cNvCxnSpPr/>
      </xdr:nvCxnSpPr>
      <xdr:spPr>
        <a:xfrm flipH="1" flipV="1">
          <a:off x="4067175" y="2733675"/>
          <a:ext cx="971550" cy="9525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914400</xdr:colOff>
      <xdr:row>19</xdr:row>
      <xdr:rowOff>85725</xdr:rowOff>
    </xdr:from>
    <xdr:to>
      <xdr:col>6</xdr:col>
      <xdr:colOff>428625</xdr:colOff>
      <xdr:row>24</xdr:row>
      <xdr:rowOff>123825</xdr:rowOff>
    </xdr:to>
    <xdr:cxnSp macro="">
      <xdr:nvCxnSpPr>
        <xdr:cNvPr id="68" name="Conector recto de flecha 67">
          <a:extLst>
            <a:ext uri="{FF2B5EF4-FFF2-40B4-BE49-F238E27FC236}">
              <a16:creationId xmlns:a16="http://schemas.microsoft.com/office/drawing/2014/main" id="{2EC813DF-B9DB-47C8-9969-A0540D33AE02}"/>
            </a:ext>
          </a:extLst>
        </xdr:cNvPr>
        <xdr:cNvCxnSpPr/>
      </xdr:nvCxnSpPr>
      <xdr:spPr>
        <a:xfrm flipV="1">
          <a:off x="4286250" y="3886200"/>
          <a:ext cx="3733800" cy="103822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685800</xdr:colOff>
      <xdr:row>24</xdr:row>
      <xdr:rowOff>133350</xdr:rowOff>
    </xdr:from>
    <xdr:to>
      <xdr:col>11</xdr:col>
      <xdr:colOff>228600</xdr:colOff>
      <xdr:row>25</xdr:row>
      <xdr:rowOff>104775</xdr:rowOff>
    </xdr:to>
    <xdr:cxnSp macro="">
      <xdr:nvCxnSpPr>
        <xdr:cNvPr id="71" name="Conector recto de flecha 70">
          <a:extLst>
            <a:ext uri="{FF2B5EF4-FFF2-40B4-BE49-F238E27FC236}">
              <a16:creationId xmlns:a16="http://schemas.microsoft.com/office/drawing/2014/main" id="{7FB02733-50AD-4C86-A2D8-48EFF19F6155}"/>
            </a:ext>
          </a:extLst>
        </xdr:cNvPr>
        <xdr:cNvCxnSpPr/>
      </xdr:nvCxnSpPr>
      <xdr:spPr>
        <a:xfrm>
          <a:off x="6686550" y="4933950"/>
          <a:ext cx="7762875" cy="171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1076325</xdr:colOff>
      <xdr:row>25</xdr:row>
      <xdr:rowOff>114300</xdr:rowOff>
    </xdr:from>
    <xdr:to>
      <xdr:col>5</xdr:col>
      <xdr:colOff>180975</xdr:colOff>
      <xdr:row>31</xdr:row>
      <xdr:rowOff>152400</xdr:rowOff>
    </xdr:to>
    <xdr:cxnSp macro="">
      <xdr:nvCxnSpPr>
        <xdr:cNvPr id="78" name="Conector recto de flecha 77">
          <a:extLst>
            <a:ext uri="{FF2B5EF4-FFF2-40B4-BE49-F238E27FC236}">
              <a16:creationId xmlns:a16="http://schemas.microsoft.com/office/drawing/2014/main" id="{E617675E-A7E3-4AB1-92AD-F3E5DC95F7B2}"/>
            </a:ext>
          </a:extLst>
        </xdr:cNvPr>
        <xdr:cNvCxnSpPr/>
      </xdr:nvCxnSpPr>
      <xdr:spPr>
        <a:xfrm flipV="1">
          <a:off x="2952750" y="5114925"/>
          <a:ext cx="3228975" cy="15525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333375</xdr:colOff>
      <xdr:row>25</xdr:row>
      <xdr:rowOff>104775</xdr:rowOff>
    </xdr:from>
    <xdr:to>
      <xdr:col>7</xdr:col>
      <xdr:colOff>914400</xdr:colOff>
      <xdr:row>31</xdr:row>
      <xdr:rowOff>76200</xdr:rowOff>
    </xdr:to>
    <xdr:cxnSp macro="">
      <xdr:nvCxnSpPr>
        <xdr:cNvPr id="82" name="Conector recto de flecha 81">
          <a:extLst>
            <a:ext uri="{FF2B5EF4-FFF2-40B4-BE49-F238E27FC236}">
              <a16:creationId xmlns:a16="http://schemas.microsoft.com/office/drawing/2014/main" id="{41CD25DE-F4E6-4D50-B2B0-B9E8D1089EEA}"/>
            </a:ext>
          </a:extLst>
        </xdr:cNvPr>
        <xdr:cNvCxnSpPr/>
      </xdr:nvCxnSpPr>
      <xdr:spPr>
        <a:xfrm>
          <a:off x="9239250" y="5105400"/>
          <a:ext cx="581025" cy="14859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523875</xdr:colOff>
      <xdr:row>31</xdr:row>
      <xdr:rowOff>95250</xdr:rowOff>
    </xdr:from>
    <xdr:to>
      <xdr:col>9</xdr:col>
      <xdr:colOff>257175</xdr:colOff>
      <xdr:row>38</xdr:row>
      <xdr:rowOff>9525</xdr:rowOff>
    </xdr:to>
    <xdr:cxnSp macro="">
      <xdr:nvCxnSpPr>
        <xdr:cNvPr id="87" name="Conector recto de flecha 86">
          <a:extLst>
            <a:ext uri="{FF2B5EF4-FFF2-40B4-BE49-F238E27FC236}">
              <a16:creationId xmlns:a16="http://schemas.microsoft.com/office/drawing/2014/main" id="{01A06A60-8287-4898-A30D-B25FC64A550F}"/>
            </a:ext>
          </a:extLst>
        </xdr:cNvPr>
        <xdr:cNvCxnSpPr/>
      </xdr:nvCxnSpPr>
      <xdr:spPr>
        <a:xfrm flipV="1">
          <a:off x="9429750" y="6610350"/>
          <a:ext cx="2428875" cy="13144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95250</xdr:colOff>
      <xdr:row>36</xdr:row>
      <xdr:rowOff>123825</xdr:rowOff>
    </xdr:from>
    <xdr:to>
      <xdr:col>9</xdr:col>
      <xdr:colOff>409575</xdr:colOff>
      <xdr:row>45</xdr:row>
      <xdr:rowOff>104775</xdr:rowOff>
    </xdr:to>
    <xdr:cxnSp macro="">
      <xdr:nvCxnSpPr>
        <xdr:cNvPr id="90" name="Conector recto de flecha 89">
          <a:extLst>
            <a:ext uri="{FF2B5EF4-FFF2-40B4-BE49-F238E27FC236}">
              <a16:creationId xmlns:a16="http://schemas.microsoft.com/office/drawing/2014/main" id="{9AB87CF6-70EC-4C64-8D06-5A41595A949C}"/>
            </a:ext>
          </a:extLst>
        </xdr:cNvPr>
        <xdr:cNvCxnSpPr/>
      </xdr:nvCxnSpPr>
      <xdr:spPr>
        <a:xfrm>
          <a:off x="11696700" y="7639050"/>
          <a:ext cx="314325" cy="17811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44</xdr:row>
      <xdr:rowOff>85725</xdr:rowOff>
    </xdr:from>
    <xdr:to>
      <xdr:col>7</xdr:col>
      <xdr:colOff>238125</xdr:colOff>
      <xdr:row>59</xdr:row>
      <xdr:rowOff>209550</xdr:rowOff>
    </xdr:to>
    <xdr:cxnSp macro="">
      <xdr:nvCxnSpPr>
        <xdr:cNvPr id="94" name="Conector recto de flecha 93">
          <a:extLst>
            <a:ext uri="{FF2B5EF4-FFF2-40B4-BE49-F238E27FC236}">
              <a16:creationId xmlns:a16="http://schemas.microsoft.com/office/drawing/2014/main" id="{AA4648FB-CCFD-4111-AEAB-72ECB8E8D901}"/>
            </a:ext>
          </a:extLst>
        </xdr:cNvPr>
        <xdr:cNvCxnSpPr/>
      </xdr:nvCxnSpPr>
      <xdr:spPr>
        <a:xfrm flipH="1">
          <a:off x="9134475" y="9201150"/>
          <a:ext cx="9525" cy="34671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1133475</xdr:colOff>
      <xdr:row>45</xdr:row>
      <xdr:rowOff>171450</xdr:rowOff>
    </xdr:from>
    <xdr:to>
      <xdr:col>10</xdr:col>
      <xdr:colOff>485775</xdr:colOff>
      <xdr:row>59</xdr:row>
      <xdr:rowOff>66675</xdr:rowOff>
    </xdr:to>
    <xdr:cxnSp macro="">
      <xdr:nvCxnSpPr>
        <xdr:cNvPr id="98" name="Conector recto de flecha 97">
          <a:extLst>
            <a:ext uri="{FF2B5EF4-FFF2-40B4-BE49-F238E27FC236}">
              <a16:creationId xmlns:a16="http://schemas.microsoft.com/office/drawing/2014/main" id="{1E79B73B-26B1-4AD0-8C89-D5AFF22224D8}"/>
            </a:ext>
          </a:extLst>
        </xdr:cNvPr>
        <xdr:cNvCxnSpPr/>
      </xdr:nvCxnSpPr>
      <xdr:spPr>
        <a:xfrm>
          <a:off x="7134225" y="9486900"/>
          <a:ext cx="6334125" cy="3038475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1038225</xdr:colOff>
      <xdr:row>59</xdr:row>
      <xdr:rowOff>228600</xdr:rowOff>
    </xdr:from>
    <xdr:to>
      <xdr:col>11</xdr:col>
      <xdr:colOff>285750</xdr:colOff>
      <xdr:row>67</xdr:row>
      <xdr:rowOff>171450</xdr:rowOff>
    </xdr:to>
    <xdr:cxnSp macro="">
      <xdr:nvCxnSpPr>
        <xdr:cNvPr id="101" name="Conector recto de flecha 100">
          <a:extLst>
            <a:ext uri="{FF2B5EF4-FFF2-40B4-BE49-F238E27FC236}">
              <a16:creationId xmlns:a16="http://schemas.microsoft.com/office/drawing/2014/main" id="{14E22E01-FD60-4C04-8F4E-907FD33719F2}"/>
            </a:ext>
          </a:extLst>
        </xdr:cNvPr>
        <xdr:cNvCxnSpPr/>
      </xdr:nvCxnSpPr>
      <xdr:spPr>
        <a:xfrm flipV="1">
          <a:off x="12639675" y="12687300"/>
          <a:ext cx="1866900" cy="165735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276225</xdr:colOff>
      <xdr:row>44</xdr:row>
      <xdr:rowOff>114300</xdr:rowOff>
    </xdr:from>
    <xdr:to>
      <xdr:col>20</xdr:col>
      <xdr:colOff>123825</xdr:colOff>
      <xdr:row>45</xdr:row>
      <xdr:rowOff>104775</xdr:rowOff>
    </xdr:to>
    <xdr:cxnSp macro="">
      <xdr:nvCxnSpPr>
        <xdr:cNvPr id="105" name="Conector recto de flecha 104">
          <a:extLst>
            <a:ext uri="{FF2B5EF4-FFF2-40B4-BE49-F238E27FC236}">
              <a16:creationId xmlns:a16="http://schemas.microsoft.com/office/drawing/2014/main" id="{6AD1696B-696D-4444-A47B-AFA284C5ABFF}"/>
            </a:ext>
          </a:extLst>
        </xdr:cNvPr>
        <xdr:cNvCxnSpPr/>
      </xdr:nvCxnSpPr>
      <xdr:spPr>
        <a:xfrm>
          <a:off x="14497050" y="9229725"/>
          <a:ext cx="8429625" cy="190500"/>
        </a:xfrm>
        <a:prstGeom prst="straightConnector1">
          <a:avLst/>
        </a:prstGeom>
        <a:ln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tabSelected="1" topLeftCell="E33" workbookViewId="0">
      <selection activeCell="Q55" sqref="Q55"/>
    </sheetView>
  </sheetViews>
  <sheetFormatPr baseColWidth="10" defaultColWidth="12.5703125" defaultRowHeight="15" customHeight="1" x14ac:dyDescent="0.2"/>
  <cols>
    <col min="2" max="2" width="15.5703125" customWidth="1"/>
    <col min="3" max="3" width="22.42578125" customWidth="1"/>
    <col min="4" max="4" width="15.7109375" customWidth="1"/>
    <col min="5" max="5" width="23.7109375" customWidth="1"/>
    <col min="6" max="6" width="23.85546875" customWidth="1"/>
    <col min="7" max="7" width="19.7109375" customWidth="1"/>
    <col min="8" max="8" width="20.7109375" customWidth="1"/>
    <col min="9" max="9" width="19.7109375" customWidth="1"/>
    <col min="10" max="10" width="20.7109375" customWidth="1"/>
    <col min="11" max="11" width="18.5703125" customWidth="1"/>
    <col min="12" max="12" width="13.28515625" bestFit="1" customWidth="1"/>
    <col min="13" max="13" width="15.85546875" customWidth="1"/>
    <col min="14" max="14" width="18" customWidth="1"/>
    <col min="15" max="15" width="18.7109375" customWidth="1"/>
    <col min="21" max="21" width="16" customWidth="1"/>
  </cols>
  <sheetData>
    <row r="1" spans="1:7" ht="15.75" customHeight="1" x14ac:dyDescent="0.2">
      <c r="A1" s="32" t="s">
        <v>0</v>
      </c>
      <c r="B1" s="33"/>
      <c r="C1" s="33"/>
      <c r="D1" s="33"/>
      <c r="E1" s="34"/>
    </row>
    <row r="2" spans="1:7" ht="15.75" customHeight="1" x14ac:dyDescent="0.2">
      <c r="A2" s="37" t="s">
        <v>8</v>
      </c>
      <c r="B2" s="37" t="s">
        <v>4</v>
      </c>
      <c r="C2" s="37" t="s">
        <v>5</v>
      </c>
      <c r="D2" s="37" t="s">
        <v>6</v>
      </c>
      <c r="E2" s="37" t="s">
        <v>7</v>
      </c>
    </row>
    <row r="3" spans="1:7" ht="15.75" customHeight="1" x14ac:dyDescent="0.2">
      <c r="A3" s="35">
        <v>1019902482</v>
      </c>
      <c r="B3" s="35" t="s">
        <v>12</v>
      </c>
      <c r="C3" s="35">
        <v>3149289048</v>
      </c>
      <c r="D3" s="35" t="s">
        <v>13</v>
      </c>
      <c r="E3" s="36" t="s">
        <v>14</v>
      </c>
    </row>
    <row r="4" spans="1:7" ht="15.75" customHeight="1" x14ac:dyDescent="0.2">
      <c r="A4" s="35">
        <v>1073692451</v>
      </c>
      <c r="B4" s="35" t="s">
        <v>20</v>
      </c>
      <c r="C4" s="35">
        <v>3199242650</v>
      </c>
      <c r="D4" s="35" t="s">
        <v>21</v>
      </c>
      <c r="E4" s="36" t="s">
        <v>22</v>
      </c>
    </row>
    <row r="5" spans="1:7" ht="15.75" customHeight="1" x14ac:dyDescent="0.2">
      <c r="A5" s="35">
        <v>1358790351</v>
      </c>
      <c r="B5" s="35" t="s">
        <v>25</v>
      </c>
      <c r="C5" s="35">
        <v>3155916951</v>
      </c>
      <c r="D5" s="35" t="s">
        <v>26</v>
      </c>
      <c r="E5" s="36" t="s">
        <v>27</v>
      </c>
    </row>
    <row r="6" spans="1:7" ht="15.75" customHeight="1" x14ac:dyDescent="0.2"/>
    <row r="7" spans="1:7" ht="15.75" customHeight="1" x14ac:dyDescent="0.2">
      <c r="A7" s="38" t="s">
        <v>1</v>
      </c>
      <c r="B7" s="38"/>
      <c r="C7" s="38"/>
      <c r="D7" s="38"/>
      <c r="E7" s="38"/>
      <c r="F7" s="38"/>
      <c r="G7" s="38"/>
    </row>
    <row r="8" spans="1:7" ht="15.75" customHeight="1" x14ac:dyDescent="0.2">
      <c r="A8" s="39" t="s">
        <v>8</v>
      </c>
      <c r="B8" s="39" t="s">
        <v>184</v>
      </c>
      <c r="C8" s="39" t="s">
        <v>9</v>
      </c>
      <c r="D8" s="39" t="s">
        <v>185</v>
      </c>
      <c r="E8" s="39" t="s">
        <v>10</v>
      </c>
      <c r="F8" s="39" t="s">
        <v>186</v>
      </c>
      <c r="G8" s="39" t="s">
        <v>73</v>
      </c>
    </row>
    <row r="9" spans="1:7" ht="15.75" customHeight="1" x14ac:dyDescent="0.2">
      <c r="A9" s="22" t="s">
        <v>187</v>
      </c>
      <c r="B9" s="22" t="s">
        <v>15</v>
      </c>
      <c r="C9" s="22" t="s">
        <v>16</v>
      </c>
      <c r="D9" s="22" t="s">
        <v>17</v>
      </c>
      <c r="E9" s="22" t="s">
        <v>18</v>
      </c>
      <c r="F9" s="22" t="s">
        <v>188</v>
      </c>
      <c r="G9" s="22" t="s">
        <v>178</v>
      </c>
    </row>
    <row r="10" spans="1:7" ht="15.75" customHeight="1" x14ac:dyDescent="0.2">
      <c r="A10" s="22" t="s">
        <v>189</v>
      </c>
      <c r="B10" s="22" t="s">
        <v>23</v>
      </c>
      <c r="C10" s="22" t="s">
        <v>24</v>
      </c>
      <c r="D10" s="22" t="s">
        <v>17</v>
      </c>
      <c r="E10" s="22" t="s">
        <v>18</v>
      </c>
      <c r="F10" s="22" t="s">
        <v>190</v>
      </c>
      <c r="G10" s="22" t="s">
        <v>179</v>
      </c>
    </row>
    <row r="11" spans="1:7" ht="15.75" customHeight="1" x14ac:dyDescent="0.2">
      <c r="A11" s="22" t="s">
        <v>191</v>
      </c>
      <c r="B11" s="22" t="s">
        <v>28</v>
      </c>
      <c r="C11" s="22" t="s">
        <v>29</v>
      </c>
      <c r="D11" s="22" t="s">
        <v>17</v>
      </c>
      <c r="E11" s="22" t="s">
        <v>30</v>
      </c>
      <c r="F11" s="22" t="s">
        <v>192</v>
      </c>
      <c r="G11" s="22" t="s">
        <v>181</v>
      </c>
    </row>
    <row r="12" spans="1:7" ht="15.75" customHeight="1" x14ac:dyDescent="0.2"/>
    <row r="13" spans="1:7" ht="15.75" customHeight="1" x14ac:dyDescent="0.2">
      <c r="A13" s="38" t="s">
        <v>2</v>
      </c>
      <c r="B13" s="38"/>
      <c r="C13" s="38"/>
      <c r="D13" s="38"/>
    </row>
    <row r="14" spans="1:7" ht="15.75" customHeight="1" x14ac:dyDescent="0.2">
      <c r="A14" s="39" t="s">
        <v>8</v>
      </c>
      <c r="B14" s="39" t="s">
        <v>177</v>
      </c>
      <c r="C14" s="39" t="s">
        <v>11</v>
      </c>
      <c r="D14" s="39" t="s">
        <v>74</v>
      </c>
    </row>
    <row r="15" spans="1:7" ht="15.75" customHeight="1" x14ac:dyDescent="0.2">
      <c r="A15" s="22" t="s">
        <v>178</v>
      </c>
      <c r="B15" s="22" t="s">
        <v>111</v>
      </c>
      <c r="C15" s="22" t="s">
        <v>19</v>
      </c>
      <c r="D15" s="22" t="s">
        <v>165</v>
      </c>
    </row>
    <row r="16" spans="1:7" ht="15.75" customHeight="1" x14ac:dyDescent="0.2">
      <c r="A16" s="22" t="s">
        <v>179</v>
      </c>
      <c r="B16" s="22" t="s">
        <v>180</v>
      </c>
      <c r="C16" s="22" t="s">
        <v>19</v>
      </c>
      <c r="D16" s="22" t="s">
        <v>169</v>
      </c>
    </row>
    <row r="17" spans="1:13" ht="15.75" customHeight="1" x14ac:dyDescent="0.2">
      <c r="A17" s="22" t="s">
        <v>181</v>
      </c>
      <c r="B17" s="22" t="s">
        <v>182</v>
      </c>
      <c r="C17" s="22" t="s">
        <v>183</v>
      </c>
      <c r="D17" s="22" t="s">
        <v>173</v>
      </c>
    </row>
    <row r="18" spans="1:13" ht="15.75" customHeight="1" x14ac:dyDescent="0.2"/>
    <row r="19" spans="1:13" ht="15.75" customHeight="1" x14ac:dyDescent="0.2">
      <c r="A19" s="38" t="s">
        <v>161</v>
      </c>
      <c r="B19" s="38"/>
      <c r="C19" s="38"/>
      <c r="D19" s="38"/>
      <c r="E19" s="38"/>
      <c r="F19" s="38"/>
      <c r="G19" s="38"/>
    </row>
    <row r="20" spans="1:13" ht="15.75" customHeight="1" x14ac:dyDescent="0.2">
      <c r="A20" s="39" t="s">
        <v>8</v>
      </c>
      <c r="B20" s="39" t="s">
        <v>137</v>
      </c>
      <c r="C20" s="39" t="s">
        <v>162</v>
      </c>
      <c r="D20" s="39" t="s">
        <v>31</v>
      </c>
      <c r="E20" s="39" t="s">
        <v>145</v>
      </c>
      <c r="F20" s="39" t="s">
        <v>163</v>
      </c>
      <c r="G20" s="39" t="s">
        <v>164</v>
      </c>
    </row>
    <row r="21" spans="1:13" ht="15.75" customHeight="1" x14ac:dyDescent="0.2">
      <c r="A21" s="28" t="s">
        <v>165</v>
      </c>
      <c r="B21" s="28">
        <v>21</v>
      </c>
      <c r="C21" s="29" t="s">
        <v>166</v>
      </c>
      <c r="D21" s="24">
        <v>1785000</v>
      </c>
      <c r="E21" s="29" t="s">
        <v>167</v>
      </c>
      <c r="F21" s="24">
        <v>2124150</v>
      </c>
      <c r="G21" s="28" t="s">
        <v>168</v>
      </c>
    </row>
    <row r="22" spans="1:13" ht="15.75" customHeight="1" x14ac:dyDescent="0.2">
      <c r="A22" s="28" t="s">
        <v>169</v>
      </c>
      <c r="B22" s="28">
        <v>2</v>
      </c>
      <c r="C22" s="29" t="s">
        <v>170</v>
      </c>
      <c r="D22" s="24">
        <v>170000</v>
      </c>
      <c r="E22" s="29" t="s">
        <v>171</v>
      </c>
      <c r="F22" s="24">
        <v>202300</v>
      </c>
      <c r="G22" s="28" t="s">
        <v>172</v>
      </c>
    </row>
    <row r="23" spans="1:13" ht="15.75" customHeight="1" x14ac:dyDescent="0.2">
      <c r="A23" s="28" t="s">
        <v>173</v>
      </c>
      <c r="B23" s="28">
        <v>11</v>
      </c>
      <c r="C23" s="29" t="s">
        <v>174</v>
      </c>
      <c r="D23" s="24">
        <v>935000</v>
      </c>
      <c r="E23" s="29" t="s">
        <v>175</v>
      </c>
      <c r="F23" s="24">
        <v>1112650</v>
      </c>
      <c r="G23" s="28" t="s">
        <v>176</v>
      </c>
    </row>
    <row r="24" spans="1:13" ht="15.75" customHeight="1" x14ac:dyDescent="0.2"/>
    <row r="25" spans="1:13" ht="15.75" customHeight="1" x14ac:dyDescent="0.2">
      <c r="A25" s="48" t="s">
        <v>35</v>
      </c>
      <c r="B25" s="30"/>
      <c r="C25" s="30"/>
      <c r="D25" s="30"/>
      <c r="E25" s="30"/>
      <c r="F25" s="31"/>
      <c r="H25" s="49" t="s">
        <v>34</v>
      </c>
      <c r="I25" s="30"/>
      <c r="J25" s="30"/>
      <c r="K25" s="30"/>
      <c r="L25" s="30"/>
      <c r="M25" s="31"/>
    </row>
    <row r="26" spans="1:13" ht="15.75" customHeight="1" x14ac:dyDescent="0.2">
      <c r="A26" s="41" t="s">
        <v>8</v>
      </c>
      <c r="B26" s="41" t="s">
        <v>44</v>
      </c>
      <c r="C26" s="42" t="s">
        <v>45</v>
      </c>
      <c r="D26" s="43"/>
      <c r="E26" s="41" t="s">
        <v>32</v>
      </c>
      <c r="F26" s="41" t="s">
        <v>76</v>
      </c>
      <c r="H26" s="41" t="s">
        <v>8</v>
      </c>
      <c r="I26" s="41" t="s">
        <v>41</v>
      </c>
      <c r="J26" s="41" t="s">
        <v>42</v>
      </c>
      <c r="K26" s="41" t="s">
        <v>43</v>
      </c>
      <c r="L26" s="44" t="s">
        <v>75</v>
      </c>
      <c r="M26" s="43"/>
    </row>
    <row r="27" spans="1:13" ht="24" x14ac:dyDescent="0.2">
      <c r="A27" s="7" t="s">
        <v>77</v>
      </c>
      <c r="B27" s="8">
        <v>45394</v>
      </c>
      <c r="C27" s="17">
        <v>30</v>
      </c>
      <c r="D27" s="16"/>
      <c r="E27" s="5" t="s">
        <v>78</v>
      </c>
      <c r="F27" s="9">
        <f t="shared" ref="F27:F29" si="0">A34</f>
        <v>95744285</v>
      </c>
      <c r="H27" s="7" t="s">
        <v>79</v>
      </c>
      <c r="I27" s="10">
        <v>0.33333333333333331</v>
      </c>
      <c r="J27" s="10">
        <v>0.75</v>
      </c>
      <c r="K27" s="6" t="s">
        <v>160</v>
      </c>
      <c r="L27" s="18" t="str">
        <f t="shared" ref="L27:L29" si="1">A27</f>
        <v>OV-01</v>
      </c>
      <c r="M27" s="16"/>
    </row>
    <row r="28" spans="1:13" ht="24" x14ac:dyDescent="0.2">
      <c r="A28" s="7" t="s">
        <v>80</v>
      </c>
      <c r="B28" s="8">
        <v>45448</v>
      </c>
      <c r="C28" s="17">
        <v>60</v>
      </c>
      <c r="D28" s="16"/>
      <c r="E28" s="5" t="s">
        <v>81</v>
      </c>
      <c r="F28" s="9">
        <f t="shared" si="0"/>
        <v>13757619</v>
      </c>
      <c r="H28" s="7" t="s">
        <v>82</v>
      </c>
      <c r="I28" s="10">
        <v>0.45833333333333331</v>
      </c>
      <c r="J28" s="10">
        <v>0.70833333333333337</v>
      </c>
      <c r="K28" s="6" t="s">
        <v>48</v>
      </c>
      <c r="L28" s="18" t="str">
        <f t="shared" si="1"/>
        <v>OV-02</v>
      </c>
      <c r="M28" s="16"/>
    </row>
    <row r="29" spans="1:13" ht="24" x14ac:dyDescent="0.2">
      <c r="A29" s="7" t="s">
        <v>83</v>
      </c>
      <c r="B29" s="8">
        <v>45501</v>
      </c>
      <c r="C29" s="17">
        <v>85</v>
      </c>
      <c r="D29" s="16"/>
      <c r="E29" s="5" t="s">
        <v>84</v>
      </c>
      <c r="F29" s="9">
        <f t="shared" si="0"/>
        <v>18454667</v>
      </c>
      <c r="H29" s="7" t="s">
        <v>85</v>
      </c>
      <c r="I29" s="10">
        <v>0.35416666666666669</v>
      </c>
      <c r="J29" s="10">
        <v>0.64583333333333337</v>
      </c>
      <c r="K29" s="6" t="s">
        <v>52</v>
      </c>
      <c r="L29" s="18" t="str">
        <f t="shared" si="1"/>
        <v>OV-03</v>
      </c>
      <c r="M29" s="16"/>
    </row>
    <row r="30" spans="1:13" ht="15.75" customHeight="1" x14ac:dyDescent="0.2">
      <c r="A30" s="3"/>
      <c r="B30" s="11"/>
      <c r="C30" s="12"/>
      <c r="D30" s="12"/>
      <c r="E30" s="4"/>
      <c r="F30" s="13"/>
      <c r="H30" s="3"/>
      <c r="I30" s="14"/>
      <c r="J30" s="14"/>
      <c r="K30" s="3"/>
      <c r="L30" s="15"/>
      <c r="M30" s="15"/>
    </row>
    <row r="31" spans="1:13" ht="15.75" customHeight="1" x14ac:dyDescent="0.2">
      <c r="A31" s="3"/>
      <c r="B31" s="11"/>
      <c r="C31" s="12"/>
      <c r="D31" s="12"/>
      <c r="E31" s="4"/>
      <c r="F31" s="13"/>
      <c r="H31" s="50" t="s">
        <v>86</v>
      </c>
      <c r="I31" s="30"/>
      <c r="J31" s="31"/>
      <c r="K31" s="3"/>
      <c r="L31" s="15"/>
      <c r="M31" s="15"/>
    </row>
    <row r="32" spans="1:13" ht="15.75" customHeight="1" x14ac:dyDescent="0.2">
      <c r="A32" s="48" t="s">
        <v>53</v>
      </c>
      <c r="B32" s="30"/>
      <c r="C32" s="30"/>
      <c r="D32" s="31"/>
      <c r="E32" s="4"/>
      <c r="F32" s="13"/>
      <c r="H32" s="45" t="s">
        <v>87</v>
      </c>
      <c r="I32" s="46" t="s">
        <v>88</v>
      </c>
      <c r="J32" s="47"/>
      <c r="K32" s="3"/>
      <c r="L32" s="15"/>
      <c r="M32" s="15"/>
    </row>
    <row r="33" spans="1:21" ht="15.75" customHeight="1" x14ac:dyDescent="0.2">
      <c r="A33" s="41" t="s">
        <v>3</v>
      </c>
      <c r="B33" s="41" t="s">
        <v>55</v>
      </c>
      <c r="C33" s="41" t="s">
        <v>56</v>
      </c>
      <c r="D33" s="41" t="s">
        <v>57</v>
      </c>
      <c r="E33" s="4"/>
      <c r="F33" s="13"/>
      <c r="H33" s="7" t="str">
        <f t="shared" ref="H33:H35" si="2">H27</f>
        <v>OP-01</v>
      </c>
      <c r="I33" s="19" t="str">
        <f t="shared" ref="I33:I35" si="3">H39</f>
        <v>MP-001</v>
      </c>
      <c r="J33" s="16"/>
      <c r="K33" s="15"/>
    </row>
    <row r="34" spans="1:21" ht="15.75" customHeight="1" x14ac:dyDescent="0.2">
      <c r="A34" s="1">
        <v>95744285</v>
      </c>
      <c r="B34" s="1" t="s">
        <v>59</v>
      </c>
      <c r="C34" s="1">
        <v>3129068309</v>
      </c>
      <c r="D34" s="1" t="s">
        <v>60</v>
      </c>
      <c r="E34" s="4"/>
      <c r="F34" s="13"/>
      <c r="H34" s="7" t="str">
        <f t="shared" si="2"/>
        <v>OP-02</v>
      </c>
      <c r="I34" s="19" t="str">
        <f t="shared" si="3"/>
        <v>MP-002</v>
      </c>
      <c r="J34" s="16"/>
      <c r="K34" s="15"/>
    </row>
    <row r="35" spans="1:21" ht="15.75" customHeight="1" x14ac:dyDescent="0.2">
      <c r="A35" s="1">
        <v>13757619</v>
      </c>
      <c r="B35" s="1" t="s">
        <v>62</v>
      </c>
      <c r="C35" s="1">
        <v>3276649041</v>
      </c>
      <c r="D35" s="1" t="s">
        <v>63</v>
      </c>
      <c r="E35" s="4"/>
      <c r="F35" s="13"/>
      <c r="H35" s="7" t="str">
        <f t="shared" si="2"/>
        <v>OP-03</v>
      </c>
      <c r="I35" s="19" t="str">
        <f t="shared" si="3"/>
        <v>MP-003</v>
      </c>
      <c r="J35" s="16"/>
      <c r="K35" s="15"/>
    </row>
    <row r="36" spans="1:21" ht="15.75" customHeight="1" x14ac:dyDescent="0.2">
      <c r="A36" s="1">
        <v>18454667</v>
      </c>
      <c r="B36" s="1" t="s">
        <v>64</v>
      </c>
      <c r="C36" s="1">
        <v>3272226969</v>
      </c>
      <c r="D36" s="1" t="s">
        <v>65</v>
      </c>
      <c r="I36" s="20"/>
      <c r="J36" s="21"/>
    </row>
    <row r="37" spans="1:21" ht="15.75" customHeight="1" x14ac:dyDescent="0.2">
      <c r="H37" s="51" t="s">
        <v>33</v>
      </c>
      <c r="I37" s="52"/>
      <c r="J37" s="52"/>
      <c r="K37" s="52"/>
      <c r="L37" s="52"/>
      <c r="M37" s="53"/>
    </row>
    <row r="38" spans="1:21" ht="15.75" customHeight="1" x14ac:dyDescent="0.2">
      <c r="H38" s="41" t="s">
        <v>8</v>
      </c>
      <c r="I38" s="41" t="s">
        <v>36</v>
      </c>
      <c r="J38" s="41" t="s">
        <v>37</v>
      </c>
      <c r="K38" s="41" t="s">
        <v>38</v>
      </c>
      <c r="L38" s="41" t="s">
        <v>39</v>
      </c>
      <c r="M38" s="41" t="s">
        <v>40</v>
      </c>
    </row>
    <row r="39" spans="1:21" ht="15.75" customHeight="1" x14ac:dyDescent="0.2">
      <c r="H39" s="1" t="s">
        <v>89</v>
      </c>
      <c r="I39" s="2" t="s">
        <v>46</v>
      </c>
      <c r="J39" s="2">
        <v>10</v>
      </c>
      <c r="K39" s="2" t="s">
        <v>47</v>
      </c>
      <c r="L39" s="27">
        <v>18904.939999999999</v>
      </c>
      <c r="M39" s="2" t="s">
        <v>47</v>
      </c>
    </row>
    <row r="40" spans="1:21" ht="15.75" customHeight="1" x14ac:dyDescent="0.2">
      <c r="H40" s="1" t="s">
        <v>90</v>
      </c>
      <c r="I40" s="2" t="s">
        <v>49</v>
      </c>
      <c r="J40" s="2">
        <v>30</v>
      </c>
      <c r="K40" s="1" t="s">
        <v>159</v>
      </c>
      <c r="L40" s="27">
        <v>47549.7</v>
      </c>
      <c r="M40" s="2" t="s">
        <v>50</v>
      </c>
    </row>
    <row r="41" spans="1:21" ht="15.75" customHeight="1" x14ac:dyDescent="0.2">
      <c r="H41" s="1" t="s">
        <v>91</v>
      </c>
      <c r="I41" s="2" t="s">
        <v>51</v>
      </c>
      <c r="J41" s="2">
        <v>100</v>
      </c>
      <c r="K41" s="2" t="s">
        <v>47</v>
      </c>
      <c r="L41" s="27">
        <v>14595.94</v>
      </c>
      <c r="M41" s="2" t="s">
        <v>47</v>
      </c>
    </row>
    <row r="42" spans="1:21" ht="15.75" customHeight="1" x14ac:dyDescent="0.2"/>
    <row r="43" spans="1:21" ht="15.75" customHeight="1" x14ac:dyDescent="0.2"/>
    <row r="44" spans="1:21" ht="15.75" customHeight="1" x14ac:dyDescent="0.2"/>
    <row r="45" spans="1:21" ht="15.75" customHeight="1" x14ac:dyDescent="0.2">
      <c r="F45" s="54" t="s">
        <v>103</v>
      </c>
      <c r="G45" s="55"/>
      <c r="H45" s="55"/>
      <c r="I45" s="55"/>
      <c r="J45" s="55"/>
      <c r="K45" s="55"/>
      <c r="L45" s="56"/>
      <c r="O45" s="40" t="s">
        <v>135</v>
      </c>
      <c r="P45" s="40"/>
      <c r="Q45" s="40"/>
      <c r="R45" s="40"/>
      <c r="S45" s="40"/>
      <c r="T45" s="40"/>
      <c r="U45" s="40"/>
    </row>
    <row r="46" spans="1:21" ht="24.75" customHeight="1" x14ac:dyDescent="0.2">
      <c r="F46" s="39" t="s">
        <v>8</v>
      </c>
      <c r="G46" s="39" t="s">
        <v>104</v>
      </c>
      <c r="H46" s="39" t="s">
        <v>105</v>
      </c>
      <c r="I46" s="39" t="s">
        <v>106</v>
      </c>
      <c r="J46" s="39" t="s">
        <v>92</v>
      </c>
      <c r="K46" s="39" t="s">
        <v>107</v>
      </c>
      <c r="L46" s="39" t="s">
        <v>108</v>
      </c>
      <c r="O46" s="39" t="s">
        <v>8</v>
      </c>
      <c r="P46" s="39" t="s">
        <v>136</v>
      </c>
      <c r="Q46" s="39" t="s">
        <v>137</v>
      </c>
      <c r="R46" s="39" t="s">
        <v>138</v>
      </c>
      <c r="S46" s="39" t="s">
        <v>139</v>
      </c>
      <c r="T46" s="39" t="s">
        <v>39</v>
      </c>
      <c r="U46" s="39" t="s">
        <v>140</v>
      </c>
    </row>
    <row r="47" spans="1:21" ht="15.75" customHeight="1" x14ac:dyDescent="0.2">
      <c r="F47" s="22" t="s">
        <v>109</v>
      </c>
      <c r="G47" s="22" t="s">
        <v>110</v>
      </c>
      <c r="H47" s="22" t="s">
        <v>111</v>
      </c>
      <c r="I47" s="22" t="s">
        <v>112</v>
      </c>
      <c r="J47" s="22" t="s">
        <v>89</v>
      </c>
      <c r="K47" s="23">
        <v>500</v>
      </c>
      <c r="L47" s="24">
        <v>9452470</v>
      </c>
      <c r="O47" s="22" t="s">
        <v>93</v>
      </c>
      <c r="P47" s="22" t="s">
        <v>141</v>
      </c>
      <c r="Q47" s="22">
        <v>21</v>
      </c>
      <c r="R47" s="22" t="s">
        <v>54</v>
      </c>
      <c r="S47" s="22" t="s">
        <v>142</v>
      </c>
      <c r="T47" s="24">
        <v>85000</v>
      </c>
      <c r="U47" s="22" t="s">
        <v>113</v>
      </c>
    </row>
    <row r="48" spans="1:21" ht="15.75" customHeight="1" x14ac:dyDescent="0.2">
      <c r="F48" s="22" t="s">
        <v>113</v>
      </c>
      <c r="G48" s="22" t="s">
        <v>114</v>
      </c>
      <c r="H48" s="22" t="s">
        <v>114</v>
      </c>
      <c r="I48" s="22" t="s">
        <v>115</v>
      </c>
      <c r="J48" s="22" t="s">
        <v>89</v>
      </c>
      <c r="K48" s="25">
        <v>-30</v>
      </c>
      <c r="L48" s="24">
        <v>567148.19999999995</v>
      </c>
      <c r="O48" s="22" t="s">
        <v>94</v>
      </c>
      <c r="P48" s="22" t="s">
        <v>141</v>
      </c>
      <c r="Q48" s="22">
        <v>2</v>
      </c>
      <c r="R48" s="22" t="s">
        <v>58</v>
      </c>
      <c r="S48" s="22" t="s">
        <v>143</v>
      </c>
      <c r="T48" s="24">
        <v>85000</v>
      </c>
      <c r="U48" s="22" t="s">
        <v>122</v>
      </c>
    </row>
    <row r="49" spans="6:21" ht="15.75" customHeight="1" x14ac:dyDescent="0.2">
      <c r="F49" s="22" t="s">
        <v>116</v>
      </c>
      <c r="G49" s="22" t="s">
        <v>117</v>
      </c>
      <c r="H49" s="22" t="s">
        <v>117</v>
      </c>
      <c r="I49" s="22" t="s">
        <v>118</v>
      </c>
      <c r="J49" s="22" t="s">
        <v>89</v>
      </c>
      <c r="K49" s="25">
        <v>-20</v>
      </c>
      <c r="L49" s="24">
        <v>378098.8</v>
      </c>
      <c r="O49" s="22" t="s">
        <v>95</v>
      </c>
      <c r="P49" s="22" t="s">
        <v>141</v>
      </c>
      <c r="Q49" s="22">
        <v>11</v>
      </c>
      <c r="R49" s="22" t="s">
        <v>61</v>
      </c>
      <c r="S49" s="22" t="s">
        <v>144</v>
      </c>
      <c r="T49" s="24">
        <v>85000</v>
      </c>
      <c r="U49" s="22" t="s">
        <v>130</v>
      </c>
    </row>
    <row r="50" spans="6:21" ht="15.75" customHeight="1" x14ac:dyDescent="0.2">
      <c r="F50" s="22" t="s">
        <v>119</v>
      </c>
      <c r="G50" s="22" t="s">
        <v>120</v>
      </c>
      <c r="H50" s="22" t="s">
        <v>121</v>
      </c>
      <c r="I50" s="22" t="s">
        <v>112</v>
      </c>
      <c r="J50" s="22" t="s">
        <v>90</v>
      </c>
      <c r="K50" s="23">
        <v>300</v>
      </c>
      <c r="L50" s="24">
        <v>14264910</v>
      </c>
    </row>
    <row r="51" spans="6:21" ht="15.75" customHeight="1" x14ac:dyDescent="0.2">
      <c r="F51" s="22" t="s">
        <v>122</v>
      </c>
      <c r="G51" s="22" t="s">
        <v>123</v>
      </c>
      <c r="H51" s="22" t="s">
        <v>123</v>
      </c>
      <c r="I51" s="22" t="s">
        <v>115</v>
      </c>
      <c r="J51" s="22" t="s">
        <v>90</v>
      </c>
      <c r="K51" s="25">
        <v>-60</v>
      </c>
      <c r="L51" s="24">
        <v>2852982</v>
      </c>
    </row>
    <row r="52" spans="6:21" ht="15.75" customHeight="1" x14ac:dyDescent="0.2">
      <c r="F52" s="22" t="s">
        <v>124</v>
      </c>
      <c r="G52" s="22" t="s">
        <v>125</v>
      </c>
      <c r="H52" s="22" t="s">
        <v>125</v>
      </c>
      <c r="I52" s="22" t="s">
        <v>126</v>
      </c>
      <c r="J52" s="22" t="s">
        <v>90</v>
      </c>
      <c r="K52" s="25">
        <v>-10</v>
      </c>
      <c r="L52" s="24">
        <v>475497</v>
      </c>
    </row>
    <row r="53" spans="6:21" ht="15.75" customHeight="1" x14ac:dyDescent="0.2">
      <c r="F53" s="22" t="s">
        <v>127</v>
      </c>
      <c r="G53" s="22" t="s">
        <v>128</v>
      </c>
      <c r="H53" s="22" t="s">
        <v>129</v>
      </c>
      <c r="I53" s="22" t="s">
        <v>112</v>
      </c>
      <c r="J53" s="22" t="s">
        <v>91</v>
      </c>
      <c r="K53" s="23">
        <v>800</v>
      </c>
      <c r="L53" s="24">
        <v>11676752</v>
      </c>
    </row>
    <row r="54" spans="6:21" ht="15.75" customHeight="1" x14ac:dyDescent="0.2">
      <c r="F54" s="22" t="s">
        <v>130</v>
      </c>
      <c r="G54" s="22" t="s">
        <v>131</v>
      </c>
      <c r="H54" s="22" t="s">
        <v>131</v>
      </c>
      <c r="I54" s="22" t="s">
        <v>115</v>
      </c>
      <c r="J54" s="22" t="s">
        <v>91</v>
      </c>
      <c r="K54" s="25">
        <v>-200</v>
      </c>
      <c r="L54" s="24">
        <v>2919188</v>
      </c>
    </row>
    <row r="55" spans="6:21" ht="26.25" customHeight="1" x14ac:dyDescent="0.2">
      <c r="F55" s="22" t="s">
        <v>132</v>
      </c>
      <c r="G55" s="22" t="s">
        <v>133</v>
      </c>
      <c r="H55" s="22" t="s">
        <v>133</v>
      </c>
      <c r="I55" s="22" t="s">
        <v>134</v>
      </c>
      <c r="J55" s="22" t="s">
        <v>91</v>
      </c>
      <c r="K55" s="23">
        <v>50</v>
      </c>
      <c r="L55" s="24">
        <v>729797</v>
      </c>
    </row>
    <row r="56" spans="6:21" ht="23.25" customHeight="1" x14ac:dyDescent="0.2"/>
    <row r="57" spans="6:21" ht="15.75" customHeight="1" x14ac:dyDescent="0.2"/>
    <row r="58" spans="6:21" ht="15.75" customHeight="1" x14ac:dyDescent="0.2"/>
    <row r="59" spans="6:21" ht="15.75" customHeight="1" x14ac:dyDescent="0.2">
      <c r="F59" s="40" t="s">
        <v>106</v>
      </c>
      <c r="G59" s="40"/>
      <c r="H59" s="40"/>
      <c r="K59" s="38" t="s">
        <v>96</v>
      </c>
      <c r="L59" s="38"/>
    </row>
    <row r="60" spans="6:21" ht="24.75" customHeight="1" x14ac:dyDescent="0.2">
      <c r="F60" s="39" t="s">
        <v>8</v>
      </c>
      <c r="G60" s="39" t="s">
        <v>145</v>
      </c>
      <c r="H60" s="39" t="s">
        <v>140</v>
      </c>
      <c r="K60" s="39" t="s">
        <v>146</v>
      </c>
      <c r="L60" s="39" t="s">
        <v>97</v>
      </c>
    </row>
    <row r="61" spans="6:21" ht="15.75" customHeight="1" x14ac:dyDescent="0.2">
      <c r="F61" s="22" t="s">
        <v>98</v>
      </c>
      <c r="G61" s="22" t="s">
        <v>112</v>
      </c>
      <c r="H61" s="22" t="s">
        <v>109</v>
      </c>
      <c r="K61" s="22" t="s">
        <v>109</v>
      </c>
      <c r="L61" s="22" t="s">
        <v>147</v>
      </c>
    </row>
    <row r="62" spans="6:21" ht="15.75" customHeight="1" x14ac:dyDescent="0.2">
      <c r="F62" s="22" t="s">
        <v>99</v>
      </c>
      <c r="G62" s="22" t="s">
        <v>115</v>
      </c>
      <c r="H62" s="22" t="s">
        <v>113</v>
      </c>
      <c r="K62" s="22" t="s">
        <v>119</v>
      </c>
      <c r="L62" s="22" t="s">
        <v>148</v>
      </c>
    </row>
    <row r="63" spans="6:21" ht="15.75" customHeight="1" x14ac:dyDescent="0.2">
      <c r="F63" s="22" t="s">
        <v>100</v>
      </c>
      <c r="G63" s="22" t="s">
        <v>118</v>
      </c>
      <c r="H63" s="22" t="s">
        <v>116</v>
      </c>
      <c r="K63" s="22" t="s">
        <v>127</v>
      </c>
      <c r="L63" s="22" t="s">
        <v>149</v>
      </c>
    </row>
    <row r="64" spans="6:21" ht="15.75" customHeight="1" x14ac:dyDescent="0.2">
      <c r="F64" s="22" t="s">
        <v>101</v>
      </c>
      <c r="G64" s="22" t="s">
        <v>126</v>
      </c>
      <c r="H64" s="22" t="s">
        <v>124</v>
      </c>
    </row>
    <row r="65" spans="6:14" ht="15.75" customHeight="1" x14ac:dyDescent="0.2">
      <c r="F65" s="22" t="s">
        <v>102</v>
      </c>
      <c r="G65" s="22" t="s">
        <v>134</v>
      </c>
      <c r="H65" s="22" t="s">
        <v>132</v>
      </c>
    </row>
    <row r="66" spans="6:14" ht="15.75" customHeight="1" x14ac:dyDescent="0.2"/>
    <row r="67" spans="6:14" ht="15.75" customHeight="1" x14ac:dyDescent="0.2">
      <c r="J67" s="38" t="s">
        <v>66</v>
      </c>
      <c r="K67" s="38"/>
      <c r="L67" s="38"/>
      <c r="M67" s="38"/>
      <c r="N67" s="38"/>
    </row>
    <row r="68" spans="6:14" ht="15.75" customHeight="1" x14ac:dyDescent="0.2">
      <c r="J68" s="39" t="s">
        <v>8</v>
      </c>
      <c r="K68" s="39" t="s">
        <v>150</v>
      </c>
      <c r="L68" s="39" t="s">
        <v>151</v>
      </c>
      <c r="M68" s="39" t="s">
        <v>152</v>
      </c>
      <c r="N68" s="39" t="s">
        <v>136</v>
      </c>
    </row>
    <row r="69" spans="6:14" ht="23.25" customHeight="1" x14ac:dyDescent="0.2">
      <c r="J69" s="22" t="s">
        <v>147</v>
      </c>
      <c r="K69" s="22" t="s">
        <v>67</v>
      </c>
      <c r="L69" s="22" t="s">
        <v>68</v>
      </c>
      <c r="M69" s="22" t="s">
        <v>153</v>
      </c>
      <c r="N69" s="26" t="s">
        <v>154</v>
      </c>
    </row>
    <row r="70" spans="6:14" ht="15.75" customHeight="1" x14ac:dyDescent="0.2">
      <c r="J70" s="22" t="s">
        <v>148</v>
      </c>
      <c r="K70" s="22" t="s">
        <v>69</v>
      </c>
      <c r="L70" s="22" t="s">
        <v>70</v>
      </c>
      <c r="M70" s="22" t="s">
        <v>155</v>
      </c>
      <c r="N70" s="26" t="s">
        <v>156</v>
      </c>
    </row>
    <row r="71" spans="6:14" ht="26.25" customHeight="1" x14ac:dyDescent="0.2">
      <c r="J71" s="22" t="s">
        <v>149</v>
      </c>
      <c r="K71" s="22" t="s">
        <v>71</v>
      </c>
      <c r="L71" s="22" t="s">
        <v>72</v>
      </c>
      <c r="M71" s="22" t="s">
        <v>157</v>
      </c>
      <c r="N71" s="26" t="s">
        <v>158</v>
      </c>
    </row>
    <row r="72" spans="6:14" ht="15.75" customHeight="1" x14ac:dyDescent="0.2"/>
    <row r="73" spans="6:14" ht="15.75" customHeight="1" x14ac:dyDescent="0.2"/>
    <row r="74" spans="6:14" ht="15.75" customHeight="1" x14ac:dyDescent="0.2"/>
    <row r="75" spans="6:14" ht="15.75" customHeight="1" x14ac:dyDescent="0.2"/>
    <row r="76" spans="6:14" ht="15.75" customHeight="1" x14ac:dyDescent="0.2"/>
    <row r="77" spans="6:14" ht="15.75" customHeight="1" x14ac:dyDescent="0.2"/>
    <row r="78" spans="6:14" ht="15.75" customHeight="1" x14ac:dyDescent="0.2"/>
    <row r="79" spans="6:14" ht="15.75" customHeight="1" x14ac:dyDescent="0.2"/>
    <row r="80" spans="6:14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">
    <mergeCell ref="J67:N67"/>
    <mergeCell ref="H37:M37"/>
    <mergeCell ref="A19:G19"/>
    <mergeCell ref="A13:D13"/>
    <mergeCell ref="A7:G7"/>
    <mergeCell ref="I32:J32"/>
    <mergeCell ref="I33:J33"/>
    <mergeCell ref="I34:J34"/>
    <mergeCell ref="I35:J35"/>
    <mergeCell ref="I36:J36"/>
    <mergeCell ref="F45:L45"/>
    <mergeCell ref="O45:U45"/>
    <mergeCell ref="H31:J31"/>
    <mergeCell ref="L29:M29"/>
    <mergeCell ref="A25:F25"/>
    <mergeCell ref="H25:M25"/>
    <mergeCell ref="C26:D26"/>
    <mergeCell ref="C27:D27"/>
    <mergeCell ref="C28:D28"/>
    <mergeCell ref="L27:M27"/>
    <mergeCell ref="L28:M28"/>
    <mergeCell ref="L26:M26"/>
    <mergeCell ref="A1:E1"/>
    <mergeCell ref="F59:H59"/>
    <mergeCell ref="K59:L59"/>
    <mergeCell ref="C29:D29"/>
    <mergeCell ref="A32:D32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ER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Ernesto Acosta Hernandez</cp:lastModifiedBy>
  <dcterms:modified xsi:type="dcterms:W3CDTF">2026-04-07T23:14:57Z</dcterms:modified>
</cp:coreProperties>
</file>