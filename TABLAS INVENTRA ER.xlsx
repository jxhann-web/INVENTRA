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 ER" sheetId="1" r:id="rId4"/>
    <sheet state="visible" name="Hoja 4" sheetId="2" r:id="rId5"/>
  </sheets>
  <definedNames/>
  <calcPr/>
  <extLst>
    <ext uri="GoogleSheetsCustomDataVersion2">
      <go:sheetsCustomData xmlns:go="http://customooxmlschemas.google.com/" r:id="rId6" roundtripDataChecksum="97kDVSbxUE+otYi5FvTh+bSlMI6BEKD34m5fIzzVnik="/>
    </ext>
  </extLst>
</workbook>
</file>

<file path=xl/sharedStrings.xml><?xml version="1.0" encoding="utf-8"?>
<sst xmlns="http://schemas.openxmlformats.org/spreadsheetml/2006/main" count="331" uniqueCount="165">
  <si>
    <t xml:space="preserve">Conductor </t>
  </si>
  <si>
    <t>Camion Entregas</t>
  </si>
  <si>
    <t>Envio</t>
  </si>
  <si>
    <t>CC</t>
  </si>
  <si>
    <t xml:space="preserve">Nombre </t>
  </si>
  <si>
    <t>Telefono</t>
  </si>
  <si>
    <t>Pase</t>
  </si>
  <si>
    <t>Direccion</t>
  </si>
  <si>
    <t>ID</t>
  </si>
  <si>
    <t>Soat</t>
  </si>
  <si>
    <t>Placa</t>
  </si>
  <si>
    <t>Tecnomecanica</t>
  </si>
  <si>
    <t>Modelo</t>
  </si>
  <si>
    <t xml:space="preserve">Fecha  </t>
  </si>
  <si>
    <t>Seguimiento</t>
  </si>
  <si>
    <t>Carlos</t>
  </si>
  <si>
    <t>PASE-26570</t>
  </si>
  <si>
    <t>Calle 64 #89-24, Pereira</t>
  </si>
  <si>
    <t>SOAT-476258</t>
  </si>
  <si>
    <t>FQJ-911</t>
  </si>
  <si>
    <t>Verificada</t>
  </si>
  <si>
    <t>FH</t>
  </si>
  <si>
    <t>Entregado</t>
  </si>
  <si>
    <t>Luis</t>
  </si>
  <si>
    <t>PASE-21063</t>
  </si>
  <si>
    <t>Calle 73 #10-18, Cartagena</t>
  </si>
  <si>
    <t>SOAT-749960</t>
  </si>
  <si>
    <t>SWB-253</t>
  </si>
  <si>
    <t>María</t>
  </si>
  <si>
    <t>PASE-98706</t>
  </si>
  <si>
    <t>Calle 47 #22-40, Pereira</t>
  </si>
  <si>
    <t>SOAT-735950</t>
  </si>
  <si>
    <t>JWW-553</t>
  </si>
  <si>
    <t>Actros</t>
  </si>
  <si>
    <t xml:space="preserve">Factura </t>
  </si>
  <si>
    <t>ID Producto</t>
  </si>
  <si>
    <t>SubTotal</t>
  </si>
  <si>
    <t>Descripcion</t>
  </si>
  <si>
    <t>Total</t>
  </si>
  <si>
    <t>FAC-57288</t>
  </si>
  <si>
    <t>Bucaramanga #94</t>
  </si>
  <si>
    <t>Prod descripción #1</t>
  </si>
  <si>
    <t>FAC-56231</t>
  </si>
  <si>
    <t>Bucaramanga #12</t>
  </si>
  <si>
    <t>Prod descripción #2</t>
  </si>
  <si>
    <t>FAC-56730</t>
  </si>
  <si>
    <t>Manizales #29</t>
  </si>
  <si>
    <t>Prod descripción #3</t>
  </si>
  <si>
    <t xml:space="preserve">Materia Prima </t>
  </si>
  <si>
    <t xml:space="preserve">Produccion </t>
  </si>
  <si>
    <t>Orden Ventas</t>
  </si>
  <si>
    <t xml:space="preserve">Tipo </t>
  </si>
  <si>
    <t xml:space="preserve">Cantidad </t>
  </si>
  <si>
    <t xml:space="preserve">Grosor </t>
  </si>
  <si>
    <t>Precio Unitario</t>
  </si>
  <si>
    <t xml:space="preserve">Color </t>
  </si>
  <si>
    <t>Estado Verificacion</t>
  </si>
  <si>
    <t xml:space="preserve">Hora Inicio </t>
  </si>
  <si>
    <t>Hora FIn</t>
  </si>
  <si>
    <t>Estado</t>
  </si>
  <si>
    <t xml:space="preserve">Fecha </t>
  </si>
  <si>
    <t>Cantidad Solicitada</t>
  </si>
  <si>
    <t>Vinipel</t>
  </si>
  <si>
    <t>No aplica</t>
  </si>
  <si>
    <t>En revisión</t>
  </si>
  <si>
    <t>Pausado</t>
  </si>
  <si>
    <t>Orden de venta #1 - Especial</t>
  </si>
  <si>
    <t>Acrilico</t>
  </si>
  <si>
    <t>Colores primarios</t>
  </si>
  <si>
    <t>Aprobado</t>
  </si>
  <si>
    <t>Orden de venta #2 - Especial</t>
  </si>
  <si>
    <t>Pegamento</t>
  </si>
  <si>
    <t>Rechazado</t>
  </si>
  <si>
    <t>Cancelado</t>
  </si>
  <si>
    <t>Orden de venta #3 - Especial</t>
  </si>
  <si>
    <t xml:space="preserve">Inventario </t>
  </si>
  <si>
    <t xml:space="preserve">Movimiento Inventario </t>
  </si>
  <si>
    <t>Producto Final</t>
  </si>
  <si>
    <t xml:space="preserve">SKU Paquete </t>
  </si>
  <si>
    <t xml:space="preserve">Verificacion Paquete </t>
  </si>
  <si>
    <t xml:space="preserve">Stock Disponible </t>
  </si>
  <si>
    <t xml:space="preserve">Fecha Ingreso </t>
  </si>
  <si>
    <t xml:space="preserve">Fecha Salida </t>
  </si>
  <si>
    <t>Tipo</t>
  </si>
  <si>
    <t>Valor</t>
  </si>
  <si>
    <t xml:space="preserve">Cliente </t>
  </si>
  <si>
    <t>SKU-66557</t>
  </si>
  <si>
    <t>Crítico</t>
  </si>
  <si>
    <t>Transferencia</t>
  </si>
  <si>
    <t>Naranja</t>
  </si>
  <si>
    <t xml:space="preserve">Direccion </t>
  </si>
  <si>
    <t xml:space="preserve">Telefono </t>
  </si>
  <si>
    <t>Localidad</t>
  </si>
  <si>
    <t>SKU-16201</t>
  </si>
  <si>
    <t>Revisión</t>
  </si>
  <si>
    <t>Salida</t>
  </si>
  <si>
    <t>Rojo</t>
  </si>
  <si>
    <t>Carrera 77 #23-8</t>
  </si>
  <si>
    <t>Bogotá</t>
  </si>
  <si>
    <t>SKU-48412</t>
  </si>
  <si>
    <t>OK</t>
  </si>
  <si>
    <t>Verde</t>
  </si>
  <si>
    <t>Carrera 78 #80-2</t>
  </si>
  <si>
    <t>Pereira</t>
  </si>
  <si>
    <t>Carrera 14 #33-34</t>
  </si>
  <si>
    <t>Cali</t>
  </si>
  <si>
    <t xml:space="preserve">Tipo Movimiento </t>
  </si>
  <si>
    <t>Proveedor</t>
  </si>
  <si>
    <t xml:space="preserve">Rut </t>
  </si>
  <si>
    <t xml:space="preserve">Nit </t>
  </si>
  <si>
    <t>Compra a proveedor</t>
  </si>
  <si>
    <t>RUT-866815103-6</t>
  </si>
  <si>
    <t>NIT-803991623</t>
  </si>
  <si>
    <t>Venta a cliente</t>
  </si>
  <si>
    <t>RUT-940550286-8</t>
  </si>
  <si>
    <t>NIT-864395242</t>
  </si>
  <si>
    <t>Ajuste por inventario</t>
  </si>
  <si>
    <t>RUT-972468367-2</t>
  </si>
  <si>
    <t>NIT-805053259</t>
  </si>
  <si>
    <t>Transferencia interna</t>
  </si>
  <si>
    <t>Devolución</t>
  </si>
  <si>
    <t xml:space="preserve">Copia_ID_Conductor </t>
  </si>
  <si>
    <t>Copia_Envio</t>
  </si>
  <si>
    <t>00-10</t>
  </si>
  <si>
    <t>Copia_Factura</t>
  </si>
  <si>
    <t>00-11</t>
  </si>
  <si>
    <t>00-12</t>
  </si>
  <si>
    <t xml:space="preserve">Copia_Orden Ventas </t>
  </si>
  <si>
    <t>T-001</t>
  </si>
  <si>
    <t>T-002</t>
  </si>
  <si>
    <t>T-003</t>
  </si>
  <si>
    <t>Copia_Cliente</t>
  </si>
  <si>
    <t>OV-01</t>
  </si>
  <si>
    <t>Orden de venta #11 - Especial</t>
  </si>
  <si>
    <t>OP-01</t>
  </si>
  <si>
    <t>OV-02</t>
  </si>
  <si>
    <t>Orden de venta #22- Especial</t>
  </si>
  <si>
    <t>OP-02</t>
  </si>
  <si>
    <t>OV-03</t>
  </si>
  <si>
    <t>Orden de venta #33- Especial</t>
  </si>
  <si>
    <t>OP-03</t>
  </si>
  <si>
    <t xml:space="preserve">Transforma </t>
  </si>
  <si>
    <t>ID_Produccion</t>
  </si>
  <si>
    <t xml:space="preserve">ID_Materia Prima </t>
  </si>
  <si>
    <t>MP-001</t>
  </si>
  <si>
    <t>MP-002</t>
  </si>
  <si>
    <t>MP-003</t>
  </si>
  <si>
    <t>Copia_Movimiento Inventario</t>
  </si>
  <si>
    <t>Copia_Materia Prima</t>
  </si>
  <si>
    <t>Copia_Producto Final</t>
  </si>
  <si>
    <t>MI-01</t>
  </si>
  <si>
    <t>PF-001</t>
  </si>
  <si>
    <t>MI-02</t>
  </si>
  <si>
    <t>PF-002</t>
  </si>
  <si>
    <t>MI-03</t>
  </si>
  <si>
    <t>PF-003</t>
  </si>
  <si>
    <t>Provee</t>
  </si>
  <si>
    <t xml:space="preserve">ID_Movimiento Inventario </t>
  </si>
  <si>
    <t>ID_Proveedor</t>
  </si>
  <si>
    <t>TM-01</t>
  </si>
  <si>
    <t xml:space="preserve"> </t>
  </si>
  <si>
    <t>TM-02</t>
  </si>
  <si>
    <t>TM-03</t>
  </si>
  <si>
    <t>TM-04</t>
  </si>
  <si>
    <t>TM-05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</si>
</sst>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5">
    <font>
      <sz val="10.0"/>
      <color rgb="FF000000"/>
      <name val="Arial"/>
      <scheme val="minor"/>
    </font>
    <font>
      <sz val="10.0"/>
      <color theme="1"/>
      <name val="Arial"/>
    </font>
    <font/>
    <font>
      <sz val="9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888888"/>
      </right>
      <top style="thin">
        <color rgb="FF888888"/>
      </top>
    </border>
    <border>
      <left style="thin">
        <color rgb="FF888888"/>
      </left>
      <right style="thin">
        <color rgb="FF888888"/>
      </right>
      <top style="thin">
        <color rgb="FF000000"/>
      </top>
      <bottom style="thin">
        <color rgb="FF000000"/>
      </bottom>
    </border>
    <border>
      <left style="thin">
        <color rgb="FF888888"/>
      </left>
      <top style="thin">
        <color rgb="FF888888"/>
      </top>
      <bottom style="thin">
        <color rgb="FF000000"/>
      </bottom>
    </border>
    <border>
      <right style="thin">
        <color rgb="FF000000"/>
      </right>
      <top style="thin">
        <color rgb="FF888888"/>
      </top>
      <bottom style="thin">
        <color rgb="FF000000"/>
      </bottom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888888"/>
      </right>
      <bottom style="thin">
        <color rgb="FF888888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888888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888888"/>
      </left>
      <bottom style="thin">
        <color rgb="FF888888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5" fillId="2" fontId="1" numFmtId="0" xfId="0" applyBorder="1" applyFont="1"/>
    <xf borderId="4" fillId="3" fontId="1" numFmtId="0" xfId="0" applyBorder="1" applyFont="1"/>
    <xf borderId="6" fillId="0" fontId="3" numFmtId="0" xfId="0" applyAlignment="1" applyBorder="1" applyFont="1">
      <alignment horizontal="left"/>
    </xf>
    <xf borderId="6" fillId="0" fontId="3" numFmtId="0" xfId="0" applyAlignment="1" applyBorder="1" applyFont="1">
      <alignment horizontal="left" shrinkToFit="0" wrapText="1"/>
    </xf>
    <xf borderId="5" fillId="0" fontId="1" numFmtId="0" xfId="0" applyBorder="1" applyFont="1"/>
    <xf borderId="6" fillId="0" fontId="3" numFmtId="164" xfId="0" applyAlignment="1" applyBorder="1" applyFont="1" applyNumberFormat="1">
      <alignment horizontal="left"/>
    </xf>
    <xf borderId="7" fillId="0" fontId="3" numFmtId="0" xfId="0" applyAlignment="1" applyBorder="1" applyFont="1">
      <alignment horizontal="left"/>
    </xf>
    <xf borderId="7" fillId="0" fontId="3" numFmtId="0" xfId="0" applyAlignment="1" applyBorder="1" applyFont="1">
      <alignment horizontal="left" shrinkToFit="0" wrapText="1"/>
    </xf>
    <xf borderId="8" fillId="0" fontId="3" numFmtId="0" xfId="0" applyAlignment="1" applyBorder="1" applyFont="1">
      <alignment horizontal="left"/>
    </xf>
    <xf borderId="8" fillId="0" fontId="3" numFmtId="0" xfId="0" applyAlignment="1" applyBorder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shrinkToFit="0" wrapText="1"/>
    </xf>
    <xf borderId="1" fillId="2" fontId="1" numFmtId="0" xfId="0" applyBorder="1" applyFont="1"/>
    <xf borderId="9" fillId="0" fontId="3" numFmtId="0" xfId="0" applyAlignment="1" applyBorder="1" applyFont="1">
      <alignment horizontal="left"/>
    </xf>
    <xf borderId="10" fillId="0" fontId="2" numFmtId="0" xfId="0" applyBorder="1" applyFont="1"/>
    <xf borderId="6" fillId="0" fontId="3" numFmtId="20" xfId="0" applyAlignment="1" applyBorder="1" applyFont="1" applyNumberFormat="1">
      <alignment horizontal="left"/>
    </xf>
    <xf borderId="1" fillId="0" fontId="1" numFmtId="0" xfId="0" applyAlignment="1" applyBorder="1" applyFont="1">
      <alignment horizontal="center"/>
    </xf>
    <xf borderId="11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left" shrinkToFit="0" wrapText="1"/>
    </xf>
    <xf borderId="12" fillId="0" fontId="3" numFmtId="0" xfId="0" applyAlignment="1" applyBorder="1" applyFont="1">
      <alignment horizontal="left" shrinkToFit="0" wrapText="1"/>
    </xf>
    <xf borderId="0" fillId="0" fontId="1" numFmtId="0" xfId="0" applyFont="1"/>
    <xf borderId="5" fillId="0" fontId="3" numFmtId="0" xfId="0" applyAlignment="1" applyBorder="1" applyFont="1">
      <alignment horizontal="left"/>
    </xf>
    <xf borderId="5" fillId="0" fontId="4" numFmtId="0" xfId="0" applyBorder="1" applyFont="1"/>
    <xf borderId="13" fillId="2" fontId="1" numFmtId="0" xfId="0" applyAlignment="1" applyBorder="1" applyFont="1">
      <alignment horizontal="center"/>
    </xf>
    <xf borderId="14" fillId="0" fontId="2" numFmtId="0" xfId="0" applyBorder="1" applyFont="1"/>
    <xf borderId="15" fillId="0" fontId="2" numFmtId="0" xfId="0" applyBorder="1" applyFont="1"/>
    <xf borderId="16" fillId="2" fontId="1" numFmtId="0" xfId="0" applyBorder="1" applyFont="1"/>
    <xf borderId="1" fillId="0" fontId="4" numFmtId="0" xfId="0" applyAlignment="1" applyBorder="1" applyFont="1">
      <alignment horizontal="left"/>
    </xf>
    <xf borderId="5" fillId="0" fontId="3" numFmtId="0" xfId="0" applyAlignment="1" applyBorder="1" applyFont="1">
      <alignment horizontal="left" vertical="top"/>
    </xf>
    <xf borderId="5" fillId="0" fontId="3" numFmtId="164" xfId="0" applyAlignment="1" applyBorder="1" applyFont="1" applyNumberFormat="1">
      <alignment horizontal="left"/>
    </xf>
    <xf borderId="6" fillId="0" fontId="3" numFmtId="0" xfId="0" applyAlignment="1" applyBorder="1" applyFont="1">
      <alignment horizontal="left" vertical="top"/>
    </xf>
    <xf borderId="5" fillId="0" fontId="3" numFmtId="20" xfId="0" applyAlignment="1" applyBorder="1" applyFont="1" applyNumberFormat="1">
      <alignment horizontal="left"/>
    </xf>
    <xf borderId="1" fillId="0" fontId="4" numFmtId="0" xfId="0" applyAlignment="1" applyBorder="1" applyFont="1">
      <alignment horizontal="left" vertical="top"/>
    </xf>
    <xf borderId="0" fillId="0" fontId="3" numFmtId="164" xfId="0" applyAlignment="1" applyFont="1" applyNumberFormat="1">
      <alignment horizontal="left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left" vertical="top"/>
    </xf>
    <xf borderId="0" fillId="0" fontId="3" numFmtId="20" xfId="0" applyAlignment="1" applyFont="1" applyNumberFormat="1">
      <alignment horizontal="left"/>
    </xf>
    <xf borderId="0" fillId="0" fontId="4" numFmtId="0" xfId="0" applyAlignment="1" applyFont="1">
      <alignment horizontal="left" vertical="top"/>
    </xf>
    <xf borderId="1" fillId="2" fontId="3" numFmtId="0" xfId="0" applyAlignment="1" applyBorder="1" applyFont="1">
      <alignment horizontal="center"/>
    </xf>
    <xf borderId="17" fillId="2" fontId="3" numFmtId="0" xfId="0" applyAlignment="1" applyBorder="1" applyFont="1">
      <alignment horizontal="left" vertical="top"/>
    </xf>
    <xf borderId="18" fillId="2" fontId="3" numFmtId="20" xfId="0" applyAlignment="1" applyBorder="1" applyFont="1" applyNumberFormat="1">
      <alignment horizontal="left" vertical="top"/>
    </xf>
    <xf borderId="19" fillId="0" fontId="2" numFmtId="0" xfId="0" applyBorder="1" applyFont="1"/>
    <xf borderId="1" fillId="0" fontId="3" numFmtId="0" xfId="0" applyAlignment="1" applyBorder="1" applyFont="1">
      <alignment horizontal="left" vertical="top"/>
    </xf>
    <xf borderId="0" fillId="0" fontId="3" numFmtId="0" xfId="0" applyAlignment="1" applyFont="1">
      <alignment horizontal="center"/>
    </xf>
    <xf borderId="5" fillId="2" fontId="4" numFmtId="0" xfId="0" applyBorder="1" applyFont="1"/>
    <xf borderId="5" fillId="2" fontId="4" numFmtId="0" xfId="0" applyAlignment="1" applyBorder="1" applyFont="1">
      <alignment horizontal="left"/>
    </xf>
    <xf borderId="5" fillId="2" fontId="1" numFmtId="0" xfId="0" applyAlignment="1" applyBorder="1" applyFont="1">
      <alignment horizontal="left"/>
    </xf>
    <xf borderId="1" fillId="0" fontId="3" numFmtId="0" xfId="0" applyAlignment="1" applyBorder="1" applyFont="1">
      <alignment horizontal="left"/>
    </xf>
    <xf borderId="5" fillId="0" fontId="4" numFmtId="0" xfId="0" applyAlignment="1" applyBorder="1" applyFont="1">
      <alignment horizontal="left"/>
    </xf>
    <xf borderId="1" fillId="0" fontId="1" numFmtId="0" xfId="0" applyAlignment="1" applyBorder="1" applyFont="1">
      <alignment horizontal="left" vertical="top"/>
    </xf>
    <xf borderId="20" fillId="0" fontId="3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0" fillId="0" fontId="1" numFmtId="0" xfId="0" applyAlignment="1" applyFont="1">
      <alignment horizontal="left" vertical="top"/>
    </xf>
    <xf borderId="1" fillId="2" fontId="4" numFmtId="0" xfId="0" applyAlignment="1" applyBorder="1" applyFont="1">
      <alignment horizontal="center"/>
    </xf>
    <xf borderId="21" fillId="2" fontId="1" numFmtId="0" xfId="0" applyBorder="1" applyFont="1"/>
    <xf borderId="22" fillId="2" fontId="1" numFmtId="0" xfId="0" applyBorder="1" applyFont="1"/>
    <xf borderId="23" fillId="2" fontId="4" numFmtId="0" xfId="0" applyAlignment="1" applyBorder="1" applyFont="1">
      <alignment horizontal="left"/>
    </xf>
    <xf borderId="24" fillId="0" fontId="2" numFmtId="0" xfId="0" applyBorder="1" applyFont="1"/>
    <xf borderId="11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readingOrder="0" shrinkToFit="0" vertical="top" wrapText="1"/>
    </xf>
    <xf borderId="5" fillId="0" fontId="4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top" wrapText="1"/>
    </xf>
    <xf borderId="25" fillId="0" fontId="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1</xdr:row>
      <xdr:rowOff>66675</xdr:rowOff>
    </xdr:from>
    <xdr:ext cx="5438775" cy="1171575"/>
    <xdr:grpSp>
      <xdr:nvGrpSpPr>
        <xdr:cNvPr id="2" name="Shape 2"/>
        <xdr:cNvGrpSpPr/>
      </xdr:nvGrpSpPr>
      <xdr:grpSpPr>
        <a:xfrm>
          <a:off x="2626613" y="3194213"/>
          <a:ext cx="5438775" cy="1171575"/>
          <a:chOff x="2626613" y="3194213"/>
          <a:chExt cx="5438775" cy="1171575"/>
        </a:xfrm>
      </xdr:grpSpPr>
      <xdr:grpSp>
        <xdr:nvGrpSpPr>
          <xdr:cNvPr id="3" name="Shape 3"/>
          <xdr:cNvGrpSpPr/>
        </xdr:nvGrpSpPr>
        <xdr:grpSpPr>
          <a:xfrm>
            <a:off x="2626613" y="3194213"/>
            <a:ext cx="5438775" cy="1171575"/>
            <a:chOff x="2636138" y="3203738"/>
            <a:chExt cx="5419725" cy="1152525"/>
          </a:xfrm>
        </xdr:grpSpPr>
        <xdr:sp>
          <xdr:nvSpPr>
            <xdr:cNvPr id="4" name="Shape 4"/>
            <xdr:cNvSpPr/>
          </xdr:nvSpPr>
          <xdr:spPr>
            <a:xfrm>
              <a:off x="2636138" y="3203738"/>
              <a:ext cx="5419725" cy="1152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>
              <a:off x="2636138" y="3203738"/>
              <a:ext cx="5419725" cy="1152525"/>
            </a:xfrm>
            <a:prstGeom prst="straightConnector1">
              <a:avLst/>
            </a:prstGeom>
            <a:noFill/>
            <a:ln cap="flat" cmpd="sng" w="19050">
              <a:solidFill>
                <a:schemeClr val="accent2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1</xdr:col>
      <xdr:colOff>647700</xdr:colOff>
      <xdr:row>7</xdr:row>
      <xdr:rowOff>38100</xdr:rowOff>
    </xdr:from>
    <xdr:ext cx="6591300" cy="1181100"/>
    <xdr:grpSp>
      <xdr:nvGrpSpPr>
        <xdr:cNvPr id="2" name="Shape 2" title="Dibujo"/>
        <xdr:cNvGrpSpPr/>
      </xdr:nvGrpSpPr>
      <xdr:grpSpPr>
        <a:xfrm>
          <a:off x="2050350" y="3189450"/>
          <a:ext cx="6591300" cy="1181100"/>
          <a:chOff x="2050350" y="3189450"/>
          <a:chExt cx="6591300" cy="1181100"/>
        </a:xfrm>
      </xdr:grpSpPr>
      <xdr:grpSp>
        <xdr:nvGrpSpPr>
          <xdr:cNvPr id="6" name="Shape 6"/>
          <xdr:cNvGrpSpPr/>
        </xdr:nvGrpSpPr>
        <xdr:grpSpPr>
          <a:xfrm>
            <a:off x="2050350" y="3189450"/>
            <a:ext cx="6591300" cy="1181100"/>
            <a:chOff x="1688400" y="3194213"/>
            <a:chExt cx="7315200" cy="1171575"/>
          </a:xfrm>
        </xdr:grpSpPr>
        <xdr:sp>
          <xdr:nvSpPr>
            <xdr:cNvPr id="4" name="Shape 4"/>
            <xdr:cNvSpPr/>
          </xdr:nvSpPr>
          <xdr:spPr>
            <a:xfrm>
              <a:off x="1688400" y="3194213"/>
              <a:ext cx="7315200" cy="1171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" name="Shape 7"/>
            <xdr:cNvCxnSpPr/>
          </xdr:nvCxnSpPr>
          <xdr:spPr>
            <a:xfrm flipH="1" rot="10800000">
              <a:off x="1688400" y="3194213"/>
              <a:ext cx="7315200" cy="1171575"/>
            </a:xfrm>
            <a:prstGeom prst="straightConnector1">
              <a:avLst/>
            </a:prstGeom>
            <a:noFill/>
            <a:ln cap="flat" cmpd="sng" w="19050">
              <a:solidFill>
                <a:schemeClr val="accent2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3</xdr:col>
      <xdr:colOff>266700</xdr:colOff>
      <xdr:row>13</xdr:row>
      <xdr:rowOff>161925</xdr:rowOff>
    </xdr:from>
    <xdr:ext cx="133350" cy="904875"/>
    <xdr:grpSp>
      <xdr:nvGrpSpPr>
        <xdr:cNvPr id="2" name="Shape 2"/>
        <xdr:cNvGrpSpPr/>
      </xdr:nvGrpSpPr>
      <xdr:grpSpPr>
        <a:xfrm>
          <a:off x="5279325" y="3327563"/>
          <a:ext cx="133350" cy="904875"/>
          <a:chOff x="5279325" y="3327563"/>
          <a:chExt cx="133350" cy="904875"/>
        </a:xfrm>
      </xdr:grpSpPr>
      <xdr:grpSp>
        <xdr:nvGrpSpPr>
          <xdr:cNvPr id="8" name="Shape 8"/>
          <xdr:cNvGrpSpPr/>
        </xdr:nvGrpSpPr>
        <xdr:grpSpPr>
          <a:xfrm>
            <a:off x="5279325" y="3327563"/>
            <a:ext cx="133350" cy="904875"/>
            <a:chOff x="5288850" y="3337088"/>
            <a:chExt cx="114300" cy="885825"/>
          </a:xfrm>
        </xdr:grpSpPr>
        <xdr:sp>
          <xdr:nvSpPr>
            <xdr:cNvPr id="4" name="Shape 4"/>
            <xdr:cNvSpPr/>
          </xdr:nvSpPr>
          <xdr:spPr>
            <a:xfrm>
              <a:off x="5288850" y="3337088"/>
              <a:ext cx="114300" cy="885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9" name="Shape 9"/>
            <xdr:cNvCxnSpPr/>
          </xdr:nvCxnSpPr>
          <xdr:spPr>
            <a:xfrm flipH="1" rot="10800000">
              <a:off x="5288850" y="3337088"/>
              <a:ext cx="114300" cy="885825"/>
            </a:xfrm>
            <a:prstGeom prst="straightConnector1">
              <a:avLst/>
            </a:prstGeom>
            <a:noFill/>
            <a:ln cap="flat" cmpd="sng" w="19050">
              <a:solidFill>
                <a:schemeClr val="accent2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2</xdr:col>
      <xdr:colOff>685800</xdr:colOff>
      <xdr:row>19</xdr:row>
      <xdr:rowOff>66675</xdr:rowOff>
    </xdr:from>
    <xdr:ext cx="4867275" cy="990600"/>
    <xdr:grpSp>
      <xdr:nvGrpSpPr>
        <xdr:cNvPr id="2" name="Shape 2"/>
        <xdr:cNvGrpSpPr/>
      </xdr:nvGrpSpPr>
      <xdr:grpSpPr>
        <a:xfrm>
          <a:off x="2912363" y="3284700"/>
          <a:ext cx="4867275" cy="990600"/>
          <a:chOff x="2912363" y="3284700"/>
          <a:chExt cx="4867275" cy="990600"/>
        </a:xfrm>
      </xdr:grpSpPr>
      <xdr:grpSp>
        <xdr:nvGrpSpPr>
          <xdr:cNvPr id="10" name="Shape 10"/>
          <xdr:cNvGrpSpPr/>
        </xdr:nvGrpSpPr>
        <xdr:grpSpPr>
          <a:xfrm>
            <a:off x="2912363" y="3284700"/>
            <a:ext cx="4867275" cy="990600"/>
            <a:chOff x="2921888" y="3294225"/>
            <a:chExt cx="4848225" cy="971550"/>
          </a:xfrm>
        </xdr:grpSpPr>
        <xdr:sp>
          <xdr:nvSpPr>
            <xdr:cNvPr id="4" name="Shape 4"/>
            <xdr:cNvSpPr/>
          </xdr:nvSpPr>
          <xdr:spPr>
            <a:xfrm>
              <a:off x="2921888" y="3294225"/>
              <a:ext cx="4848225" cy="971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1" name="Shape 11"/>
            <xdr:cNvCxnSpPr/>
          </xdr:nvCxnSpPr>
          <xdr:spPr>
            <a:xfrm flipH="1" rot="10800000">
              <a:off x="2921888" y="3294225"/>
              <a:ext cx="4848225" cy="971550"/>
            </a:xfrm>
            <a:prstGeom prst="straightConnector1">
              <a:avLst/>
            </a:prstGeom>
            <a:noFill/>
            <a:ln cap="flat" cmpd="sng" w="19050">
              <a:solidFill>
                <a:schemeClr val="accent2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1</xdr:col>
      <xdr:colOff>885825</xdr:colOff>
      <xdr:row>25</xdr:row>
      <xdr:rowOff>57150</xdr:rowOff>
    </xdr:from>
    <xdr:ext cx="3962400" cy="1495425"/>
    <xdr:grpSp>
      <xdr:nvGrpSpPr>
        <xdr:cNvPr id="2" name="Shape 2" title="Dibujo"/>
        <xdr:cNvGrpSpPr/>
      </xdr:nvGrpSpPr>
      <xdr:grpSpPr>
        <a:xfrm>
          <a:off x="3688650" y="3156113"/>
          <a:ext cx="3314700" cy="1247775"/>
          <a:chOff x="3688650" y="3156113"/>
          <a:chExt cx="3314700" cy="1247775"/>
        </a:xfrm>
      </xdr:grpSpPr>
      <xdr:grpSp>
        <xdr:nvGrpSpPr>
          <xdr:cNvPr id="12" name="Shape 12"/>
          <xdr:cNvGrpSpPr/>
        </xdr:nvGrpSpPr>
        <xdr:grpSpPr>
          <a:xfrm>
            <a:off x="3688650" y="3156113"/>
            <a:ext cx="3314700" cy="1247775"/>
            <a:chOff x="3698175" y="3165638"/>
            <a:chExt cx="3295650" cy="1228725"/>
          </a:xfrm>
        </xdr:grpSpPr>
        <xdr:sp>
          <xdr:nvSpPr>
            <xdr:cNvPr id="4" name="Shape 4"/>
            <xdr:cNvSpPr/>
          </xdr:nvSpPr>
          <xdr:spPr>
            <a:xfrm>
              <a:off x="3698175" y="3165638"/>
              <a:ext cx="3295650" cy="1228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3" name="Shape 13"/>
            <xdr:cNvCxnSpPr/>
          </xdr:nvCxnSpPr>
          <xdr:spPr>
            <a:xfrm flipH="1" rot="10800000">
              <a:off x="3698175" y="3165638"/>
              <a:ext cx="3295650" cy="1228725"/>
            </a:xfrm>
            <a:prstGeom prst="straightConnector1">
              <a:avLst/>
            </a:prstGeom>
            <a:noFill/>
            <a:ln cap="flat" cmpd="sng" w="19050">
              <a:solidFill>
                <a:schemeClr val="accent2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3</xdr:col>
      <xdr:colOff>752475</xdr:colOff>
      <xdr:row>24</xdr:row>
      <xdr:rowOff>66675</xdr:rowOff>
    </xdr:from>
    <xdr:ext cx="8439150" cy="228600"/>
    <xdr:grpSp>
      <xdr:nvGrpSpPr>
        <xdr:cNvPr id="2" name="Shape 2"/>
        <xdr:cNvGrpSpPr/>
      </xdr:nvGrpSpPr>
      <xdr:grpSpPr>
        <a:xfrm>
          <a:off x="1126425" y="3665700"/>
          <a:ext cx="8439150" cy="228600"/>
          <a:chOff x="1126425" y="3665700"/>
          <a:chExt cx="8439150" cy="228600"/>
        </a:xfrm>
      </xdr:grpSpPr>
      <xdr:grpSp>
        <xdr:nvGrpSpPr>
          <xdr:cNvPr id="14" name="Shape 14"/>
          <xdr:cNvGrpSpPr/>
        </xdr:nvGrpSpPr>
        <xdr:grpSpPr>
          <a:xfrm>
            <a:off x="1126425" y="3665700"/>
            <a:ext cx="8439150" cy="228600"/>
            <a:chOff x="1135950" y="3675225"/>
            <a:chExt cx="8420100" cy="209550"/>
          </a:xfrm>
        </xdr:grpSpPr>
        <xdr:sp>
          <xdr:nvSpPr>
            <xdr:cNvPr id="4" name="Shape 4"/>
            <xdr:cNvSpPr/>
          </xdr:nvSpPr>
          <xdr:spPr>
            <a:xfrm>
              <a:off x="1135950" y="3675225"/>
              <a:ext cx="8420100" cy="209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5" name="Shape 15"/>
            <xdr:cNvCxnSpPr/>
          </xdr:nvCxnSpPr>
          <xdr:spPr>
            <a:xfrm>
              <a:off x="1135950" y="3675225"/>
              <a:ext cx="8420100" cy="209550"/>
            </a:xfrm>
            <a:prstGeom prst="straightConnector1">
              <a:avLst/>
            </a:prstGeom>
            <a:noFill/>
            <a:ln cap="flat" cmpd="sng" w="19050">
              <a:solidFill>
                <a:schemeClr val="accent2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7</xdr:col>
      <xdr:colOff>485775</xdr:colOff>
      <xdr:row>25</xdr:row>
      <xdr:rowOff>95250</xdr:rowOff>
    </xdr:from>
    <xdr:ext cx="190500" cy="1143000"/>
    <xdr:grpSp>
      <xdr:nvGrpSpPr>
        <xdr:cNvPr id="2" name="Shape 2" title="Dibujo"/>
        <xdr:cNvGrpSpPr/>
      </xdr:nvGrpSpPr>
      <xdr:grpSpPr>
        <a:xfrm>
          <a:off x="5331713" y="3208500"/>
          <a:ext cx="28575" cy="1143000"/>
          <a:chOff x="5331713" y="3208500"/>
          <a:chExt cx="28575" cy="1143000"/>
        </a:xfrm>
      </xdr:grpSpPr>
      <xdr:grpSp>
        <xdr:nvGrpSpPr>
          <xdr:cNvPr id="16" name="Shape 16"/>
          <xdr:cNvGrpSpPr/>
        </xdr:nvGrpSpPr>
        <xdr:grpSpPr>
          <a:xfrm>
            <a:off x="5331713" y="3208500"/>
            <a:ext cx="28575" cy="1143000"/>
            <a:chOff x="5341238" y="3208500"/>
            <a:chExt cx="9525" cy="1143000"/>
          </a:xfrm>
        </xdr:grpSpPr>
        <xdr:sp>
          <xdr:nvSpPr>
            <xdr:cNvPr id="4" name="Shape 4"/>
            <xdr:cNvSpPr/>
          </xdr:nvSpPr>
          <xdr:spPr>
            <a:xfrm>
              <a:off x="5341238" y="3208500"/>
              <a:ext cx="9525" cy="1143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7" name="Shape 17"/>
            <xdr:cNvCxnSpPr/>
          </xdr:nvCxnSpPr>
          <xdr:spPr>
            <a:xfrm flipH="1">
              <a:off x="5341238" y="3208500"/>
              <a:ext cx="9525" cy="1143000"/>
            </a:xfrm>
            <a:prstGeom prst="straightConnector1">
              <a:avLst/>
            </a:prstGeom>
            <a:noFill/>
            <a:ln cap="flat" cmpd="sng" w="19050">
              <a:solidFill>
                <a:schemeClr val="accent2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7</xdr:col>
      <xdr:colOff>285750</xdr:colOff>
      <xdr:row>31</xdr:row>
      <xdr:rowOff>123825</xdr:rowOff>
    </xdr:from>
    <xdr:ext cx="866775" cy="1200150"/>
    <xdr:grpSp>
      <xdr:nvGrpSpPr>
        <xdr:cNvPr id="2" name="Shape 2"/>
        <xdr:cNvGrpSpPr/>
      </xdr:nvGrpSpPr>
      <xdr:grpSpPr>
        <a:xfrm>
          <a:off x="4912613" y="3179925"/>
          <a:ext cx="866775" cy="1200150"/>
          <a:chOff x="4912613" y="3179925"/>
          <a:chExt cx="866775" cy="1200150"/>
        </a:xfrm>
      </xdr:grpSpPr>
      <xdr:grpSp>
        <xdr:nvGrpSpPr>
          <xdr:cNvPr id="18" name="Shape 18"/>
          <xdr:cNvGrpSpPr/>
        </xdr:nvGrpSpPr>
        <xdr:grpSpPr>
          <a:xfrm>
            <a:off x="4912613" y="3179925"/>
            <a:ext cx="866775" cy="1200150"/>
            <a:chOff x="4922138" y="3189450"/>
            <a:chExt cx="847725" cy="1181100"/>
          </a:xfrm>
        </xdr:grpSpPr>
        <xdr:sp>
          <xdr:nvSpPr>
            <xdr:cNvPr id="4" name="Shape 4"/>
            <xdr:cNvSpPr/>
          </xdr:nvSpPr>
          <xdr:spPr>
            <a:xfrm>
              <a:off x="4922138" y="3189450"/>
              <a:ext cx="847725" cy="1181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9" name="Shape 19"/>
            <xdr:cNvCxnSpPr/>
          </xdr:nvCxnSpPr>
          <xdr:spPr>
            <a:xfrm flipH="1" rot="10800000">
              <a:off x="4922138" y="3189450"/>
              <a:ext cx="847725" cy="1181100"/>
            </a:xfrm>
            <a:prstGeom prst="straightConnector1">
              <a:avLst/>
            </a:prstGeom>
            <a:noFill/>
            <a:ln cap="flat" cmpd="sng" w="19050">
              <a:solidFill>
                <a:schemeClr val="accent2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11</xdr:col>
      <xdr:colOff>123825</xdr:colOff>
      <xdr:row>36</xdr:row>
      <xdr:rowOff>152400</xdr:rowOff>
    </xdr:from>
    <xdr:ext cx="1219200" cy="1552575"/>
    <xdr:grpSp>
      <xdr:nvGrpSpPr>
        <xdr:cNvPr id="2" name="Shape 2"/>
        <xdr:cNvGrpSpPr/>
      </xdr:nvGrpSpPr>
      <xdr:grpSpPr>
        <a:xfrm>
          <a:off x="4736400" y="3003713"/>
          <a:ext cx="1219200" cy="1552575"/>
          <a:chOff x="4736400" y="3003713"/>
          <a:chExt cx="1219200" cy="1552575"/>
        </a:xfrm>
      </xdr:grpSpPr>
      <xdr:grpSp>
        <xdr:nvGrpSpPr>
          <xdr:cNvPr id="20" name="Shape 20"/>
          <xdr:cNvGrpSpPr/>
        </xdr:nvGrpSpPr>
        <xdr:grpSpPr>
          <a:xfrm>
            <a:off x="4736400" y="3003713"/>
            <a:ext cx="1219200" cy="1552575"/>
            <a:chOff x="4745925" y="3013238"/>
            <a:chExt cx="1200150" cy="1533525"/>
          </a:xfrm>
        </xdr:grpSpPr>
        <xdr:sp>
          <xdr:nvSpPr>
            <xdr:cNvPr id="4" name="Shape 4"/>
            <xdr:cNvSpPr/>
          </xdr:nvSpPr>
          <xdr:spPr>
            <a:xfrm>
              <a:off x="4745925" y="3013238"/>
              <a:ext cx="1200150" cy="1533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1" name="Shape 21"/>
            <xdr:cNvCxnSpPr/>
          </xdr:nvCxnSpPr>
          <xdr:spPr>
            <a:xfrm>
              <a:off x="4745925" y="3013238"/>
              <a:ext cx="1200150" cy="1533525"/>
            </a:xfrm>
            <a:prstGeom prst="straightConnector1">
              <a:avLst/>
            </a:prstGeom>
            <a:noFill/>
            <a:ln cap="flat" cmpd="sng" w="19050">
              <a:solidFill>
                <a:schemeClr val="accent2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5</xdr:col>
      <xdr:colOff>800100</xdr:colOff>
      <xdr:row>43</xdr:row>
      <xdr:rowOff>66675</xdr:rowOff>
    </xdr:from>
    <xdr:ext cx="4267200" cy="38100"/>
    <xdr:grpSp>
      <xdr:nvGrpSpPr>
        <xdr:cNvPr id="2" name="Shape 2"/>
        <xdr:cNvGrpSpPr/>
      </xdr:nvGrpSpPr>
      <xdr:grpSpPr>
        <a:xfrm>
          <a:off x="3212400" y="3757141"/>
          <a:ext cx="4267200" cy="45719"/>
          <a:chOff x="3212400" y="3757141"/>
          <a:chExt cx="4267200" cy="45719"/>
        </a:xfrm>
      </xdr:grpSpPr>
      <xdr:grpSp>
        <xdr:nvGrpSpPr>
          <xdr:cNvPr id="22" name="Shape 22" title="Dibujo"/>
          <xdr:cNvGrpSpPr/>
        </xdr:nvGrpSpPr>
        <xdr:grpSpPr>
          <a:xfrm>
            <a:off x="3212400" y="3757141"/>
            <a:ext cx="4267200" cy="45719"/>
            <a:chOff x="3398138" y="3689513"/>
            <a:chExt cx="3895725" cy="180975"/>
          </a:xfrm>
        </xdr:grpSpPr>
        <xdr:sp>
          <xdr:nvSpPr>
            <xdr:cNvPr id="4" name="Shape 4"/>
            <xdr:cNvSpPr/>
          </xdr:nvSpPr>
          <xdr:spPr>
            <a:xfrm>
              <a:off x="3398138" y="3689513"/>
              <a:ext cx="3895725" cy="180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3" name="Shape 23"/>
            <xdr:cNvCxnSpPr/>
          </xdr:nvCxnSpPr>
          <xdr:spPr>
            <a:xfrm flipH="1">
              <a:off x="3398138" y="3689513"/>
              <a:ext cx="3895725" cy="180975"/>
            </a:xfrm>
            <a:prstGeom prst="straightConnector1">
              <a:avLst/>
            </a:prstGeom>
            <a:noFill/>
            <a:ln cap="flat" cmpd="sng" w="19050">
              <a:solidFill>
                <a:schemeClr val="accent2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14</xdr:col>
      <xdr:colOff>1190625</xdr:colOff>
      <xdr:row>43</xdr:row>
      <xdr:rowOff>104775</xdr:rowOff>
    </xdr:from>
    <xdr:ext cx="2581275" cy="209550"/>
    <xdr:grpSp>
      <xdr:nvGrpSpPr>
        <xdr:cNvPr id="2" name="Shape 2"/>
        <xdr:cNvGrpSpPr/>
      </xdr:nvGrpSpPr>
      <xdr:grpSpPr>
        <a:xfrm>
          <a:off x="4055363" y="3675225"/>
          <a:ext cx="2581275" cy="209550"/>
          <a:chOff x="4055363" y="3675225"/>
          <a:chExt cx="2581275" cy="209550"/>
        </a:xfrm>
      </xdr:grpSpPr>
      <xdr:grpSp>
        <xdr:nvGrpSpPr>
          <xdr:cNvPr id="24" name="Shape 24"/>
          <xdr:cNvGrpSpPr/>
        </xdr:nvGrpSpPr>
        <xdr:grpSpPr>
          <a:xfrm>
            <a:off x="4055363" y="3675225"/>
            <a:ext cx="2581275" cy="209550"/>
            <a:chOff x="4064888" y="3684750"/>
            <a:chExt cx="2562225" cy="190500"/>
          </a:xfrm>
        </xdr:grpSpPr>
        <xdr:sp>
          <xdr:nvSpPr>
            <xdr:cNvPr id="4" name="Shape 4"/>
            <xdr:cNvSpPr/>
          </xdr:nvSpPr>
          <xdr:spPr>
            <a:xfrm>
              <a:off x="4064888" y="3684750"/>
              <a:ext cx="2562225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5" name="Shape 25"/>
            <xdr:cNvCxnSpPr/>
          </xdr:nvCxnSpPr>
          <xdr:spPr>
            <a:xfrm flipH="1">
              <a:off x="4064888" y="3684750"/>
              <a:ext cx="2562225" cy="190500"/>
            </a:xfrm>
            <a:prstGeom prst="straightConnector1">
              <a:avLst/>
            </a:prstGeom>
            <a:noFill/>
            <a:ln cap="flat" cmpd="sng" w="19050">
              <a:solidFill>
                <a:schemeClr val="accent2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9</xdr:col>
      <xdr:colOff>819150</xdr:colOff>
      <xdr:row>43</xdr:row>
      <xdr:rowOff>114300</xdr:rowOff>
    </xdr:from>
    <xdr:ext cx="1476375" cy="1571625"/>
    <xdr:grpSp>
      <xdr:nvGrpSpPr>
        <xdr:cNvPr id="2" name="Shape 2"/>
        <xdr:cNvGrpSpPr/>
      </xdr:nvGrpSpPr>
      <xdr:grpSpPr>
        <a:xfrm>
          <a:off x="4607813" y="2994188"/>
          <a:ext cx="1476375" cy="1571625"/>
          <a:chOff x="4607813" y="2994188"/>
          <a:chExt cx="1476375" cy="1571625"/>
        </a:xfrm>
      </xdr:grpSpPr>
      <xdr:grpSp>
        <xdr:nvGrpSpPr>
          <xdr:cNvPr id="26" name="Shape 26"/>
          <xdr:cNvGrpSpPr/>
        </xdr:nvGrpSpPr>
        <xdr:grpSpPr>
          <a:xfrm>
            <a:off x="4607813" y="2994188"/>
            <a:ext cx="1476375" cy="1571625"/>
            <a:chOff x="4617338" y="3003713"/>
            <a:chExt cx="1457325" cy="1552575"/>
          </a:xfrm>
        </xdr:grpSpPr>
        <xdr:sp>
          <xdr:nvSpPr>
            <xdr:cNvPr id="4" name="Shape 4"/>
            <xdr:cNvSpPr/>
          </xdr:nvSpPr>
          <xdr:spPr>
            <a:xfrm>
              <a:off x="4617338" y="3003713"/>
              <a:ext cx="1457325" cy="1552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7" name="Shape 27"/>
            <xdr:cNvCxnSpPr/>
          </xdr:nvCxnSpPr>
          <xdr:spPr>
            <a:xfrm flipH="1">
              <a:off x="4617338" y="3003713"/>
              <a:ext cx="1457325" cy="1552575"/>
            </a:xfrm>
            <a:prstGeom prst="straightConnector1">
              <a:avLst/>
            </a:prstGeom>
            <a:noFill/>
            <a:ln cap="flat" cmpd="sng" w="19050">
              <a:solidFill>
                <a:schemeClr val="accent2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12</xdr:col>
      <xdr:colOff>771525</xdr:colOff>
      <xdr:row>51</xdr:row>
      <xdr:rowOff>95250</xdr:rowOff>
    </xdr:from>
    <xdr:ext cx="1676400" cy="1876425"/>
    <xdr:grpSp>
      <xdr:nvGrpSpPr>
        <xdr:cNvPr id="2" name="Shape 2"/>
        <xdr:cNvGrpSpPr/>
      </xdr:nvGrpSpPr>
      <xdr:grpSpPr>
        <a:xfrm>
          <a:off x="4507800" y="2841788"/>
          <a:ext cx="1676400" cy="1876425"/>
          <a:chOff x="4507800" y="2841788"/>
          <a:chExt cx="1676400" cy="1876425"/>
        </a:xfrm>
      </xdr:grpSpPr>
      <xdr:grpSp>
        <xdr:nvGrpSpPr>
          <xdr:cNvPr id="28" name="Shape 28"/>
          <xdr:cNvGrpSpPr/>
        </xdr:nvGrpSpPr>
        <xdr:grpSpPr>
          <a:xfrm>
            <a:off x="4507800" y="2841788"/>
            <a:ext cx="1676400" cy="1876425"/>
            <a:chOff x="4517325" y="2851313"/>
            <a:chExt cx="1657350" cy="1857375"/>
          </a:xfrm>
        </xdr:grpSpPr>
        <xdr:sp>
          <xdr:nvSpPr>
            <xdr:cNvPr id="4" name="Shape 4"/>
            <xdr:cNvSpPr/>
          </xdr:nvSpPr>
          <xdr:spPr>
            <a:xfrm>
              <a:off x="4517325" y="2851313"/>
              <a:ext cx="1657350" cy="18573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9" name="Shape 29"/>
            <xdr:cNvCxnSpPr/>
          </xdr:nvCxnSpPr>
          <xdr:spPr>
            <a:xfrm flipH="1" rot="10800000">
              <a:off x="4517325" y="2851313"/>
              <a:ext cx="1657350" cy="1857375"/>
            </a:xfrm>
            <a:prstGeom prst="straightConnector1">
              <a:avLst/>
            </a:prstGeom>
            <a:noFill/>
            <a:ln cap="flat" cmpd="sng" w="19050">
              <a:solidFill>
                <a:schemeClr val="accent2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7</xdr:col>
      <xdr:colOff>571500</xdr:colOff>
      <xdr:row>44</xdr:row>
      <xdr:rowOff>95250</xdr:rowOff>
    </xdr:from>
    <xdr:ext cx="4476750" cy="1371600"/>
    <xdr:grpSp>
      <xdr:nvGrpSpPr>
        <xdr:cNvPr id="2" name="Shape 2"/>
        <xdr:cNvGrpSpPr/>
      </xdr:nvGrpSpPr>
      <xdr:grpSpPr>
        <a:xfrm>
          <a:off x="3107625" y="3094200"/>
          <a:ext cx="4476750" cy="1371600"/>
          <a:chOff x="3107625" y="3094200"/>
          <a:chExt cx="4476750" cy="1371600"/>
        </a:xfrm>
      </xdr:grpSpPr>
      <xdr:grpSp>
        <xdr:nvGrpSpPr>
          <xdr:cNvPr id="30" name="Shape 30"/>
          <xdr:cNvGrpSpPr/>
        </xdr:nvGrpSpPr>
        <xdr:grpSpPr>
          <a:xfrm>
            <a:off x="3107625" y="3094200"/>
            <a:ext cx="4476750" cy="1371600"/>
            <a:chOff x="3117150" y="3103725"/>
            <a:chExt cx="4457700" cy="1352550"/>
          </a:xfrm>
        </xdr:grpSpPr>
        <xdr:sp>
          <xdr:nvSpPr>
            <xdr:cNvPr id="4" name="Shape 4"/>
            <xdr:cNvSpPr/>
          </xdr:nvSpPr>
          <xdr:spPr>
            <a:xfrm>
              <a:off x="3117150" y="3103725"/>
              <a:ext cx="4457700" cy="1352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1" name="Shape 31"/>
            <xdr:cNvCxnSpPr/>
          </xdr:nvCxnSpPr>
          <xdr:spPr>
            <a:xfrm>
              <a:off x="3117150" y="3103725"/>
              <a:ext cx="4457700" cy="1352550"/>
            </a:xfrm>
            <a:prstGeom prst="straightConnector1">
              <a:avLst/>
            </a:prstGeom>
            <a:noFill/>
            <a:ln cap="flat" cmpd="sng" w="19050">
              <a:solidFill>
                <a:schemeClr val="accent2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F1" s="1" t="s">
        <v>0</v>
      </c>
      <c r="G1" s="2"/>
      <c r="H1" s="2"/>
      <c r="I1" s="2"/>
      <c r="J1" s="3"/>
      <c r="L1" s="1" t="s">
        <v>1</v>
      </c>
      <c r="M1" s="2"/>
      <c r="N1" s="2"/>
      <c r="O1" s="2"/>
      <c r="P1" s="3"/>
      <c r="R1" s="1" t="s">
        <v>2</v>
      </c>
      <c r="S1" s="2"/>
      <c r="T1" s="3"/>
      <c r="U1" s="4"/>
      <c r="V1" s="4"/>
    </row>
    <row r="2" ht="15.75" customHeight="1"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L2" s="5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R2" s="5" t="s">
        <v>8</v>
      </c>
      <c r="S2" s="5" t="s">
        <v>13</v>
      </c>
      <c r="T2" s="5" t="s">
        <v>14</v>
      </c>
      <c r="U2" s="6"/>
      <c r="V2" s="6"/>
    </row>
    <row r="3" ht="15.75" customHeight="1">
      <c r="F3" s="7">
        <v>1.0</v>
      </c>
      <c r="G3" s="7" t="s">
        <v>15</v>
      </c>
      <c r="H3" s="7">
        <v>3.149289048E9</v>
      </c>
      <c r="I3" s="7" t="s">
        <v>16</v>
      </c>
      <c r="J3" s="8" t="s">
        <v>17</v>
      </c>
      <c r="L3" s="9">
        <v>1.0</v>
      </c>
      <c r="M3" s="7" t="s">
        <v>18</v>
      </c>
      <c r="N3" s="7" t="s">
        <v>19</v>
      </c>
      <c r="O3" s="9" t="s">
        <v>20</v>
      </c>
      <c r="P3" s="7" t="s">
        <v>21</v>
      </c>
      <c r="R3" s="7">
        <v>1.0</v>
      </c>
      <c r="S3" s="10">
        <v>45298.0</v>
      </c>
      <c r="T3" s="7" t="s">
        <v>22</v>
      </c>
      <c r="U3" s="6"/>
      <c r="V3" s="6"/>
    </row>
    <row r="4" ht="15.75" customHeight="1">
      <c r="F4" s="11">
        <v>2.0</v>
      </c>
      <c r="G4" s="11" t="s">
        <v>23</v>
      </c>
      <c r="H4" s="11">
        <v>3.19924265E9</v>
      </c>
      <c r="I4" s="11" t="s">
        <v>24</v>
      </c>
      <c r="J4" s="12" t="s">
        <v>25</v>
      </c>
      <c r="L4" s="9">
        <v>2.0</v>
      </c>
      <c r="M4" s="7" t="s">
        <v>26</v>
      </c>
      <c r="N4" s="7" t="s">
        <v>27</v>
      </c>
      <c r="O4" s="9" t="s">
        <v>20</v>
      </c>
      <c r="P4" s="7" t="s">
        <v>21</v>
      </c>
      <c r="R4" s="7">
        <v>2.0</v>
      </c>
      <c r="S4" s="10">
        <v>45639.0</v>
      </c>
      <c r="T4" s="7" t="s">
        <v>22</v>
      </c>
      <c r="U4" s="6"/>
      <c r="V4" s="6"/>
    </row>
    <row r="5" ht="15.75" customHeight="1">
      <c r="F5" s="13">
        <v>3.0</v>
      </c>
      <c r="G5" s="13" t="s">
        <v>28</v>
      </c>
      <c r="H5" s="13">
        <v>3.155916951E9</v>
      </c>
      <c r="I5" s="13" t="s">
        <v>29</v>
      </c>
      <c r="J5" s="14" t="s">
        <v>30</v>
      </c>
      <c r="L5" s="9">
        <v>3.0</v>
      </c>
      <c r="M5" s="7" t="s">
        <v>31</v>
      </c>
      <c r="N5" s="7" t="s">
        <v>32</v>
      </c>
      <c r="O5" s="9" t="s">
        <v>20</v>
      </c>
      <c r="P5" s="7" t="s">
        <v>33</v>
      </c>
      <c r="R5" s="7">
        <v>3.0</v>
      </c>
      <c r="S5" s="10">
        <v>45996.0</v>
      </c>
      <c r="T5" s="7" t="s">
        <v>22</v>
      </c>
      <c r="U5" s="6"/>
      <c r="V5" s="6"/>
    </row>
    <row r="6" ht="15.75" customHeight="1">
      <c r="F6" s="15"/>
      <c r="G6" s="15"/>
      <c r="H6" s="15"/>
      <c r="I6" s="15"/>
      <c r="J6" s="16"/>
    </row>
    <row r="7" ht="15.75" customHeight="1">
      <c r="F7" s="15"/>
      <c r="G7" s="15"/>
      <c r="H7" s="15"/>
      <c r="I7" s="15"/>
      <c r="J7" s="16"/>
    </row>
    <row r="8" ht="15.75" customHeight="1">
      <c r="F8" s="15"/>
      <c r="G8" s="15"/>
      <c r="H8" s="15"/>
      <c r="I8" s="15"/>
      <c r="J8" s="16"/>
      <c r="U8" s="1" t="s">
        <v>34</v>
      </c>
      <c r="V8" s="2"/>
      <c r="W8" s="2"/>
      <c r="X8" s="2"/>
      <c r="Y8" s="2"/>
      <c r="Z8" s="3"/>
    </row>
    <row r="9" ht="15.75" customHeight="1">
      <c r="F9" s="15"/>
      <c r="G9" s="15"/>
      <c r="H9" s="15"/>
      <c r="I9" s="15"/>
      <c r="J9" s="16"/>
      <c r="U9" s="5" t="s">
        <v>8</v>
      </c>
      <c r="V9" s="5" t="s">
        <v>35</v>
      </c>
      <c r="W9" s="5" t="s">
        <v>7</v>
      </c>
      <c r="X9" s="5" t="s">
        <v>36</v>
      </c>
      <c r="Y9" s="5" t="s">
        <v>37</v>
      </c>
      <c r="Z9" s="5" t="s">
        <v>38</v>
      </c>
    </row>
    <row r="10" ht="15.75" customHeight="1">
      <c r="F10" s="15"/>
      <c r="G10" s="15"/>
      <c r="H10" s="15"/>
      <c r="I10" s="15"/>
      <c r="J10" s="16"/>
      <c r="U10" s="7">
        <v>1.0</v>
      </c>
      <c r="V10" s="7" t="s">
        <v>39</v>
      </c>
      <c r="W10" s="7" t="s">
        <v>40</v>
      </c>
      <c r="X10" s="7">
        <v>790536.16</v>
      </c>
      <c r="Y10" s="7" t="s">
        <v>41</v>
      </c>
      <c r="Z10" s="7">
        <v>940738.03</v>
      </c>
    </row>
    <row r="11" ht="15.75" customHeight="1">
      <c r="F11" s="15"/>
      <c r="G11" s="15"/>
      <c r="H11" s="15"/>
      <c r="I11" s="15"/>
      <c r="J11" s="16"/>
      <c r="U11" s="7">
        <v>2.0</v>
      </c>
      <c r="V11" s="7" t="s">
        <v>42</v>
      </c>
      <c r="W11" s="7" t="s">
        <v>43</v>
      </c>
      <c r="X11" s="7">
        <v>178627.23</v>
      </c>
      <c r="Y11" s="7" t="s">
        <v>44</v>
      </c>
      <c r="Z11" s="7">
        <v>212566.4</v>
      </c>
    </row>
    <row r="12" ht="15.75" customHeight="1">
      <c r="F12" s="15"/>
      <c r="G12" s="15"/>
      <c r="H12" s="15"/>
      <c r="I12" s="15"/>
      <c r="J12" s="16"/>
      <c r="U12" s="7">
        <v>3.0</v>
      </c>
      <c r="V12" s="7" t="s">
        <v>45</v>
      </c>
      <c r="W12" s="7" t="s">
        <v>46</v>
      </c>
      <c r="X12" s="7">
        <v>1828282.88</v>
      </c>
      <c r="Y12" s="7" t="s">
        <v>47</v>
      </c>
      <c r="Z12" s="7">
        <v>2175656.63</v>
      </c>
    </row>
    <row r="13" ht="15.75" customHeight="1"/>
    <row r="14" ht="15.75" customHeight="1"/>
    <row r="15" ht="15.75" customHeight="1"/>
    <row r="16" ht="15.75" customHeight="1"/>
    <row r="17" ht="15.75" customHeight="1">
      <c r="G17" s="1" t="s">
        <v>48</v>
      </c>
      <c r="H17" s="2"/>
      <c r="I17" s="2"/>
      <c r="J17" s="2"/>
      <c r="K17" s="2"/>
      <c r="L17" s="2"/>
      <c r="M17" s="2"/>
      <c r="N17" s="3"/>
      <c r="P17" s="1" t="s">
        <v>49</v>
      </c>
      <c r="Q17" s="2"/>
      <c r="R17" s="2"/>
      <c r="S17" s="3"/>
      <c r="U17" s="1" t="s">
        <v>50</v>
      </c>
      <c r="V17" s="2"/>
      <c r="W17" s="2"/>
      <c r="X17" s="2"/>
      <c r="Y17" s="3"/>
    </row>
    <row r="18" ht="15.75" customHeight="1">
      <c r="G18" s="5" t="s">
        <v>8</v>
      </c>
      <c r="H18" s="5" t="s">
        <v>51</v>
      </c>
      <c r="I18" s="5" t="s">
        <v>52</v>
      </c>
      <c r="J18" s="5" t="s">
        <v>53</v>
      </c>
      <c r="K18" s="5" t="s">
        <v>54</v>
      </c>
      <c r="L18" s="5" t="s">
        <v>55</v>
      </c>
      <c r="M18" s="17" t="s">
        <v>56</v>
      </c>
      <c r="N18" s="3"/>
      <c r="P18" s="5" t="s">
        <v>8</v>
      </c>
      <c r="Q18" s="5" t="s">
        <v>57</v>
      </c>
      <c r="R18" s="5" t="s">
        <v>58</v>
      </c>
      <c r="S18" s="5" t="s">
        <v>59</v>
      </c>
      <c r="U18" s="5" t="s">
        <v>8</v>
      </c>
      <c r="V18" s="5" t="s">
        <v>60</v>
      </c>
      <c r="W18" s="17" t="s">
        <v>61</v>
      </c>
      <c r="X18" s="3"/>
      <c r="Y18" s="5" t="s">
        <v>37</v>
      </c>
    </row>
    <row r="19" ht="15.75" customHeight="1">
      <c r="G19" s="7">
        <v>1.0</v>
      </c>
      <c r="H19" s="9" t="s">
        <v>62</v>
      </c>
      <c r="I19" s="9">
        <v>10.0</v>
      </c>
      <c r="J19" s="9" t="s">
        <v>63</v>
      </c>
      <c r="K19" s="7">
        <v>18904.94</v>
      </c>
      <c r="L19" s="9" t="s">
        <v>63</v>
      </c>
      <c r="M19" s="18" t="s">
        <v>64</v>
      </c>
      <c r="N19" s="19"/>
      <c r="P19" s="7">
        <v>1.0</v>
      </c>
      <c r="Q19" s="20">
        <v>0.3333333333333333</v>
      </c>
      <c r="R19" s="20">
        <v>0.75</v>
      </c>
      <c r="S19" s="7" t="s">
        <v>65</v>
      </c>
      <c r="U19" s="7">
        <v>1.0</v>
      </c>
      <c r="V19" s="10">
        <v>45394.0</v>
      </c>
      <c r="W19" s="21">
        <v>30.0</v>
      </c>
      <c r="X19" s="3"/>
      <c r="Y19" s="8" t="s">
        <v>66</v>
      </c>
    </row>
    <row r="20" ht="15.75" customHeight="1">
      <c r="G20" s="7">
        <v>2.0</v>
      </c>
      <c r="H20" s="9" t="s">
        <v>67</v>
      </c>
      <c r="I20" s="9">
        <v>30.0</v>
      </c>
      <c r="J20" s="7">
        <v>7.35</v>
      </c>
      <c r="K20" s="7">
        <v>47549.7</v>
      </c>
      <c r="L20" s="9" t="s">
        <v>68</v>
      </c>
      <c r="M20" s="18" t="s">
        <v>69</v>
      </c>
      <c r="N20" s="19"/>
      <c r="P20" s="7">
        <v>2.0</v>
      </c>
      <c r="Q20" s="20">
        <v>0.4583333333333333</v>
      </c>
      <c r="R20" s="20">
        <v>0.7083333333333334</v>
      </c>
      <c r="S20" s="7" t="s">
        <v>65</v>
      </c>
      <c r="U20" s="7">
        <v>2.0</v>
      </c>
      <c r="V20" s="10">
        <v>45448.0</v>
      </c>
      <c r="W20" s="21">
        <v>60.0</v>
      </c>
      <c r="X20" s="3"/>
      <c r="Y20" s="8" t="s">
        <v>70</v>
      </c>
    </row>
    <row r="21" ht="15.75" customHeight="1">
      <c r="G21" s="7">
        <v>3.0</v>
      </c>
      <c r="H21" s="9" t="s">
        <v>71</v>
      </c>
      <c r="I21" s="9">
        <v>100.0</v>
      </c>
      <c r="J21" s="9" t="s">
        <v>63</v>
      </c>
      <c r="K21" s="7">
        <v>14595.94</v>
      </c>
      <c r="L21" s="9" t="s">
        <v>63</v>
      </c>
      <c r="M21" s="18" t="s">
        <v>72</v>
      </c>
      <c r="N21" s="19"/>
      <c r="P21" s="7">
        <v>3.0</v>
      </c>
      <c r="Q21" s="20">
        <v>0.3541666666666667</v>
      </c>
      <c r="R21" s="20">
        <v>0.6458333333333334</v>
      </c>
      <c r="S21" s="7" t="s">
        <v>73</v>
      </c>
      <c r="U21" s="7">
        <v>3.0</v>
      </c>
      <c r="V21" s="10">
        <v>45501.0</v>
      </c>
      <c r="W21" s="21">
        <v>85.0</v>
      </c>
      <c r="X21" s="3"/>
      <c r="Y21" s="8" t="s">
        <v>74</v>
      </c>
    </row>
    <row r="22" ht="15.75" customHeight="1"/>
    <row r="23" ht="15.75" customHeight="1"/>
    <row r="24" ht="15.75" customHeight="1"/>
    <row r="25" ht="15.75" customHeight="1">
      <c r="A25" s="1" t="s">
        <v>75</v>
      </c>
      <c r="B25" s="2"/>
      <c r="C25" s="2"/>
      <c r="D25" s="2"/>
      <c r="E25" s="3"/>
      <c r="H25" s="1" t="s">
        <v>76</v>
      </c>
      <c r="I25" s="2"/>
      <c r="J25" s="2"/>
      <c r="K25" s="2"/>
      <c r="L25" s="3"/>
      <c r="O25" s="1" t="s">
        <v>77</v>
      </c>
      <c r="P25" s="2"/>
      <c r="Q25" s="2"/>
      <c r="R25" s="3"/>
    </row>
    <row r="26" ht="15.75" customHeight="1">
      <c r="A26" s="5" t="s">
        <v>78</v>
      </c>
      <c r="B26" s="17" t="s">
        <v>79</v>
      </c>
      <c r="C26" s="3"/>
      <c r="D26" s="17" t="s">
        <v>80</v>
      </c>
      <c r="E26" s="3"/>
      <c r="H26" s="5" t="s">
        <v>8</v>
      </c>
      <c r="I26" s="5" t="s">
        <v>81</v>
      </c>
      <c r="J26" s="5" t="s">
        <v>82</v>
      </c>
      <c r="K26" s="5" t="s">
        <v>83</v>
      </c>
      <c r="L26" s="5" t="s">
        <v>84</v>
      </c>
      <c r="O26" s="5" t="s">
        <v>8</v>
      </c>
      <c r="P26" s="17" t="s">
        <v>52</v>
      </c>
      <c r="Q26" s="3"/>
      <c r="R26" s="5" t="s">
        <v>55</v>
      </c>
      <c r="U26" s="1" t="s">
        <v>85</v>
      </c>
      <c r="V26" s="2"/>
      <c r="W26" s="2"/>
      <c r="X26" s="3"/>
    </row>
    <row r="27" ht="15.75" customHeight="1">
      <c r="A27" s="22" t="s">
        <v>86</v>
      </c>
      <c r="B27" s="18" t="s">
        <v>87</v>
      </c>
      <c r="C27" s="19"/>
      <c r="D27" s="18">
        <v>440.0</v>
      </c>
      <c r="E27" s="19"/>
      <c r="H27" s="7">
        <v>1.0</v>
      </c>
      <c r="I27" s="10">
        <v>45597.0</v>
      </c>
      <c r="J27" s="10">
        <v>45893.0</v>
      </c>
      <c r="K27" s="7" t="s">
        <v>88</v>
      </c>
      <c r="L27" s="7">
        <v>284831.29</v>
      </c>
      <c r="O27" s="7">
        <v>1.0</v>
      </c>
      <c r="P27" s="18">
        <v>21.0</v>
      </c>
      <c r="Q27" s="19"/>
      <c r="R27" s="7" t="s">
        <v>89</v>
      </c>
      <c r="U27" s="5" t="s">
        <v>3</v>
      </c>
      <c r="V27" s="5" t="s">
        <v>90</v>
      </c>
      <c r="W27" s="5" t="s">
        <v>91</v>
      </c>
      <c r="X27" s="5" t="s">
        <v>92</v>
      </c>
    </row>
    <row r="28" ht="15.75" customHeight="1">
      <c r="A28" s="22" t="s">
        <v>93</v>
      </c>
      <c r="B28" s="18" t="s">
        <v>94</v>
      </c>
      <c r="C28" s="19"/>
      <c r="D28" s="18">
        <v>540.0</v>
      </c>
      <c r="E28" s="19"/>
      <c r="H28" s="7">
        <v>2.0</v>
      </c>
      <c r="I28" s="10">
        <v>45666.0</v>
      </c>
      <c r="J28" s="10">
        <v>46067.0</v>
      </c>
      <c r="K28" s="7" t="s">
        <v>95</v>
      </c>
      <c r="L28" s="7">
        <v>70633.42</v>
      </c>
      <c r="O28" s="7">
        <v>2.0</v>
      </c>
      <c r="P28" s="18">
        <v>2.0</v>
      </c>
      <c r="Q28" s="19"/>
      <c r="R28" s="7" t="s">
        <v>96</v>
      </c>
      <c r="U28" s="7">
        <v>9.5744285E7</v>
      </c>
      <c r="V28" s="7" t="s">
        <v>97</v>
      </c>
      <c r="W28" s="7">
        <v>3.129068309E9</v>
      </c>
      <c r="X28" s="7" t="s">
        <v>98</v>
      </c>
    </row>
    <row r="29" ht="15.75" customHeight="1">
      <c r="A29" s="22" t="s">
        <v>99</v>
      </c>
      <c r="B29" s="18" t="s">
        <v>100</v>
      </c>
      <c r="C29" s="19"/>
      <c r="D29" s="18">
        <v>55.0</v>
      </c>
      <c r="E29" s="19"/>
      <c r="H29" s="7">
        <v>3.0</v>
      </c>
      <c r="I29" s="10">
        <v>45505.0</v>
      </c>
      <c r="J29" s="10">
        <v>45908.0</v>
      </c>
      <c r="K29" s="7" t="s">
        <v>88</v>
      </c>
      <c r="L29" s="7">
        <v>156344.26</v>
      </c>
      <c r="O29" s="7">
        <v>3.0</v>
      </c>
      <c r="P29" s="18">
        <v>11.0</v>
      </c>
      <c r="Q29" s="19"/>
      <c r="R29" s="7" t="s">
        <v>101</v>
      </c>
      <c r="U29" s="7">
        <v>1.3757619E7</v>
      </c>
      <c r="V29" s="7" t="s">
        <v>102</v>
      </c>
      <c r="W29" s="7">
        <v>3.276649041E9</v>
      </c>
      <c r="X29" s="7" t="s">
        <v>103</v>
      </c>
    </row>
    <row r="30" ht="15.75" customHeight="1">
      <c r="U30" s="7">
        <v>1.8454667E7</v>
      </c>
      <c r="V30" s="7" t="s">
        <v>104</v>
      </c>
      <c r="W30" s="7">
        <v>3.272226969E9</v>
      </c>
      <c r="X30" s="7" t="s">
        <v>105</v>
      </c>
    </row>
    <row r="31" ht="15.75" customHeight="1"/>
    <row r="32" ht="15.75" customHeight="1"/>
    <row r="33" ht="15.75" customHeight="1">
      <c r="G33" s="1" t="s">
        <v>106</v>
      </c>
      <c r="H33" s="3"/>
      <c r="J33" s="1" t="s">
        <v>107</v>
      </c>
      <c r="K33" s="2"/>
      <c r="L33" s="2"/>
      <c r="M33" s="3"/>
    </row>
    <row r="34" ht="15.75" customHeight="1">
      <c r="G34" s="5" t="s">
        <v>8</v>
      </c>
      <c r="H34" s="5" t="s">
        <v>37</v>
      </c>
      <c r="J34" s="5" t="s">
        <v>8</v>
      </c>
      <c r="K34" s="5" t="s">
        <v>108</v>
      </c>
      <c r="L34" s="5" t="s">
        <v>109</v>
      </c>
      <c r="M34" s="5" t="s">
        <v>91</v>
      </c>
    </row>
    <row r="35" ht="15.75" customHeight="1">
      <c r="G35" s="22">
        <v>1.0</v>
      </c>
      <c r="H35" s="23" t="s">
        <v>110</v>
      </c>
      <c r="J35" s="7">
        <v>1.0</v>
      </c>
      <c r="K35" s="7" t="s">
        <v>111</v>
      </c>
      <c r="L35" s="7" t="s">
        <v>112</v>
      </c>
      <c r="M35" s="7">
        <v>3.136132195E9</v>
      </c>
    </row>
    <row r="36" ht="15.75" customHeight="1">
      <c r="G36" s="22">
        <v>2.0</v>
      </c>
      <c r="H36" s="23" t="s">
        <v>113</v>
      </c>
      <c r="J36" s="7">
        <v>2.0</v>
      </c>
      <c r="K36" s="7" t="s">
        <v>114</v>
      </c>
      <c r="L36" s="7" t="s">
        <v>115</v>
      </c>
      <c r="M36" s="7">
        <v>3.20338419E9</v>
      </c>
    </row>
    <row r="37" ht="15.75" customHeight="1">
      <c r="G37" s="22">
        <v>3.0</v>
      </c>
      <c r="H37" s="23" t="s">
        <v>116</v>
      </c>
      <c r="J37" s="7">
        <v>3.0</v>
      </c>
      <c r="K37" s="7" t="s">
        <v>117</v>
      </c>
      <c r="L37" s="7" t="s">
        <v>118</v>
      </c>
      <c r="M37" s="7">
        <v>3.13517774E9</v>
      </c>
    </row>
    <row r="38" ht="15.75" customHeight="1">
      <c r="G38" s="22">
        <v>4.0</v>
      </c>
      <c r="H38" s="23" t="s">
        <v>119</v>
      </c>
    </row>
    <row r="39" ht="15.75" customHeight="1">
      <c r="G39" s="7">
        <v>5.0</v>
      </c>
      <c r="H39" s="24" t="s">
        <v>120</v>
      </c>
    </row>
    <row r="40" ht="15.75" customHeight="1"/>
    <row r="41" ht="15.75" customHeight="1">
      <c r="Z41" s="25"/>
    </row>
    <row r="42" ht="15.75" customHeight="1">
      <c r="Z42" s="15"/>
    </row>
    <row r="43" ht="15.75" customHeight="1">
      <c r="Z43" s="15"/>
    </row>
    <row r="44" ht="15.75" customHeight="1">
      <c r="Z44" s="1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U17:Y17"/>
    <mergeCell ref="W18:X18"/>
    <mergeCell ref="F1:J1"/>
    <mergeCell ref="L1:P1"/>
    <mergeCell ref="R1:T1"/>
    <mergeCell ref="U8:Z8"/>
    <mergeCell ref="G17:N17"/>
    <mergeCell ref="P17:S17"/>
    <mergeCell ref="M18:N18"/>
    <mergeCell ref="M19:N19"/>
    <mergeCell ref="W19:X19"/>
    <mergeCell ref="M20:N20"/>
    <mergeCell ref="W20:X20"/>
    <mergeCell ref="M21:N21"/>
    <mergeCell ref="W21:X21"/>
    <mergeCell ref="A25:E25"/>
    <mergeCell ref="P26:Q26"/>
    <mergeCell ref="P27:Q27"/>
    <mergeCell ref="P28:Q28"/>
    <mergeCell ref="P29:Q29"/>
    <mergeCell ref="B28:C28"/>
    <mergeCell ref="D28:E28"/>
    <mergeCell ref="B29:C29"/>
    <mergeCell ref="D29:E29"/>
    <mergeCell ref="G33:H33"/>
    <mergeCell ref="J33:M33"/>
    <mergeCell ref="H25:L25"/>
    <mergeCell ref="O25:R25"/>
    <mergeCell ref="B26:C26"/>
    <mergeCell ref="D26:E26"/>
    <mergeCell ref="U26:X26"/>
    <mergeCell ref="B27:C27"/>
    <mergeCell ref="D27:E2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5.63"/>
    <col customWidth="1" min="3" max="3" width="15.25"/>
    <col customWidth="1" min="4" max="4" width="14.13"/>
    <col customWidth="1" min="5" max="5" width="17.0"/>
    <col customWidth="1" min="6" max="6" width="23.88"/>
    <col customWidth="1" min="13" max="13" width="15.88"/>
    <col customWidth="1" min="14" max="14" width="13.75"/>
    <col customWidth="1" min="15" max="15" width="18.75"/>
  </cols>
  <sheetData>
    <row r="1" ht="15.75" customHeight="1">
      <c r="A1" s="1" t="s">
        <v>0</v>
      </c>
      <c r="B1" s="2"/>
      <c r="C1" s="2"/>
      <c r="D1" s="2"/>
      <c r="E1" s="3"/>
    </row>
    <row r="2" ht="15.75" customHeight="1">
      <c r="A2" s="5" t="s">
        <v>8</v>
      </c>
      <c r="B2" s="5" t="s">
        <v>4</v>
      </c>
      <c r="C2" s="5" t="s">
        <v>5</v>
      </c>
      <c r="D2" s="5" t="s">
        <v>6</v>
      </c>
      <c r="E2" s="5" t="s">
        <v>7</v>
      </c>
    </row>
    <row r="3" ht="15.75" customHeight="1">
      <c r="A3" s="7">
        <v>1.019902482E9</v>
      </c>
      <c r="B3" s="7" t="s">
        <v>15</v>
      </c>
      <c r="C3" s="7">
        <v>3.149289048E9</v>
      </c>
      <c r="D3" s="7" t="s">
        <v>16</v>
      </c>
      <c r="E3" s="8" t="s">
        <v>17</v>
      </c>
    </row>
    <row r="4" ht="15.75" customHeight="1">
      <c r="A4" s="7">
        <v>1.073692451E9</v>
      </c>
      <c r="B4" s="11" t="s">
        <v>23</v>
      </c>
      <c r="C4" s="11">
        <v>3.19924265E9</v>
      </c>
      <c r="D4" s="11" t="s">
        <v>24</v>
      </c>
      <c r="E4" s="12" t="s">
        <v>25</v>
      </c>
    </row>
    <row r="5" ht="15.75" customHeight="1">
      <c r="A5" s="7">
        <v>1.358790351E9</v>
      </c>
      <c r="B5" s="13" t="s">
        <v>28</v>
      </c>
      <c r="C5" s="13">
        <v>3.155916951E9</v>
      </c>
      <c r="D5" s="13" t="s">
        <v>29</v>
      </c>
      <c r="E5" s="14" t="s">
        <v>30</v>
      </c>
    </row>
    <row r="6" ht="15.75" customHeight="1"/>
    <row r="7" ht="15.75" customHeight="1">
      <c r="A7" s="1" t="s">
        <v>1</v>
      </c>
      <c r="B7" s="2"/>
      <c r="C7" s="2"/>
      <c r="D7" s="2"/>
      <c r="E7" s="2"/>
      <c r="F7" s="2"/>
      <c r="G7" s="3"/>
    </row>
    <row r="8" ht="15.75" customHeight="1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121</v>
      </c>
      <c r="G8" s="5" t="s">
        <v>122</v>
      </c>
    </row>
    <row r="9" ht="15.75" customHeight="1">
      <c r="A9" s="9"/>
      <c r="B9" s="26" t="s">
        <v>18</v>
      </c>
      <c r="C9" s="26" t="s">
        <v>19</v>
      </c>
      <c r="D9" s="9" t="s">
        <v>20</v>
      </c>
      <c r="E9" s="26" t="s">
        <v>21</v>
      </c>
      <c r="F9" s="27">
        <f t="shared" ref="F9:F11" si="1">A3</f>
        <v>1019902482</v>
      </c>
      <c r="G9" s="27" t="str">
        <f>A15</f>
        <v>00-10</v>
      </c>
    </row>
    <row r="10" ht="15.75" customHeight="1">
      <c r="A10" s="9"/>
      <c r="B10" s="26" t="s">
        <v>26</v>
      </c>
      <c r="C10" s="26" t="s">
        <v>27</v>
      </c>
      <c r="D10" s="9" t="s">
        <v>20</v>
      </c>
      <c r="E10" s="26" t="s">
        <v>21</v>
      </c>
      <c r="F10" s="27">
        <f t="shared" si="1"/>
        <v>1073692451</v>
      </c>
      <c r="G10" s="27" t="s">
        <v>123</v>
      </c>
    </row>
    <row r="11" ht="15.75" customHeight="1">
      <c r="A11" s="9"/>
      <c r="B11" s="26" t="s">
        <v>31</v>
      </c>
      <c r="C11" s="26" t="s">
        <v>32</v>
      </c>
      <c r="D11" s="9" t="s">
        <v>20</v>
      </c>
      <c r="E11" s="26" t="s">
        <v>33</v>
      </c>
      <c r="F11" s="27">
        <f t="shared" si="1"/>
        <v>1358790351</v>
      </c>
      <c r="G11" s="27" t="str">
        <f>A17</f>
        <v>00-12</v>
      </c>
    </row>
    <row r="12" ht="15.75" customHeight="1"/>
    <row r="13" ht="15.75" customHeight="1">
      <c r="A13" s="28" t="s">
        <v>2</v>
      </c>
      <c r="B13" s="29"/>
      <c r="C13" s="29"/>
      <c r="D13" s="30"/>
    </row>
    <row r="14" ht="15.75" customHeight="1">
      <c r="A14" s="5" t="s">
        <v>8</v>
      </c>
      <c r="B14" s="5" t="s">
        <v>13</v>
      </c>
      <c r="C14" s="31" t="s">
        <v>14</v>
      </c>
      <c r="D14" s="5" t="s">
        <v>124</v>
      </c>
    </row>
    <row r="15" ht="15.75" customHeight="1">
      <c r="A15" s="7" t="s">
        <v>123</v>
      </c>
      <c r="B15" s="10">
        <v>45298.0</v>
      </c>
      <c r="C15" s="22" t="s">
        <v>22</v>
      </c>
      <c r="D15" s="27" t="str">
        <f t="shared" ref="D15:D17" si="2">A21</f>
        <v>T-001</v>
      </c>
    </row>
    <row r="16" ht="15.75" customHeight="1">
      <c r="A16" s="7" t="s">
        <v>125</v>
      </c>
      <c r="B16" s="10">
        <v>45639.0</v>
      </c>
      <c r="C16" s="22" t="s">
        <v>22</v>
      </c>
      <c r="D16" s="27" t="str">
        <f t="shared" si="2"/>
        <v>T-002</v>
      </c>
    </row>
    <row r="17" ht="15.75" customHeight="1">
      <c r="A17" s="7" t="s">
        <v>126</v>
      </c>
      <c r="B17" s="10">
        <v>45996.0</v>
      </c>
      <c r="C17" s="22" t="s">
        <v>22</v>
      </c>
      <c r="D17" s="27" t="str">
        <f t="shared" si="2"/>
        <v>T-003</v>
      </c>
    </row>
    <row r="18" ht="15.75" customHeight="1"/>
    <row r="19" ht="15.75" customHeight="1">
      <c r="A19" s="1" t="s">
        <v>34</v>
      </c>
      <c r="B19" s="2"/>
      <c r="C19" s="2"/>
      <c r="D19" s="2"/>
      <c r="E19" s="2"/>
      <c r="F19" s="2"/>
      <c r="G19" s="2"/>
      <c r="H19" s="3"/>
    </row>
    <row r="20" ht="15.75" customHeight="1">
      <c r="A20" s="5" t="s">
        <v>8</v>
      </c>
      <c r="B20" s="5" t="s">
        <v>52</v>
      </c>
      <c r="C20" s="5" t="s">
        <v>7</v>
      </c>
      <c r="D20" s="5" t="s">
        <v>36</v>
      </c>
      <c r="E20" s="5" t="s">
        <v>37</v>
      </c>
      <c r="F20" s="5" t="s">
        <v>38</v>
      </c>
      <c r="G20" s="1" t="s">
        <v>127</v>
      </c>
      <c r="H20" s="3"/>
    </row>
    <row r="21" ht="15.75" customHeight="1">
      <c r="A21" s="26" t="s">
        <v>128</v>
      </c>
      <c r="B21" s="26">
        <v>2.0</v>
      </c>
      <c r="C21" s="26" t="s">
        <v>40</v>
      </c>
      <c r="D21" s="26">
        <v>790536.16</v>
      </c>
      <c r="E21" s="26" t="s">
        <v>41</v>
      </c>
      <c r="F21" s="26">
        <v>940738.03</v>
      </c>
      <c r="G21" s="32" t="str">
        <f t="shared" ref="G21:G23" si="3">A27</f>
        <v>OV-01</v>
      </c>
      <c r="H21" s="3"/>
    </row>
    <row r="22" ht="15.75" customHeight="1">
      <c r="A22" s="26" t="s">
        <v>129</v>
      </c>
      <c r="B22" s="26">
        <v>10.0</v>
      </c>
      <c r="C22" s="26" t="s">
        <v>43</v>
      </c>
      <c r="D22" s="26">
        <v>178627.23</v>
      </c>
      <c r="E22" s="26" t="s">
        <v>44</v>
      </c>
      <c r="F22" s="26">
        <v>212566.4</v>
      </c>
      <c r="G22" s="32" t="str">
        <f t="shared" si="3"/>
        <v>OV-02</v>
      </c>
      <c r="H22" s="3"/>
    </row>
    <row r="23" ht="15.75" customHeight="1">
      <c r="A23" s="26" t="s">
        <v>130</v>
      </c>
      <c r="B23" s="26">
        <v>5.0</v>
      </c>
      <c r="C23" s="26" t="s">
        <v>46</v>
      </c>
      <c r="D23" s="26">
        <v>1828282.88</v>
      </c>
      <c r="E23" s="26" t="s">
        <v>47</v>
      </c>
      <c r="F23" s="26">
        <v>2175656.63</v>
      </c>
      <c r="G23" s="32" t="str">
        <f t="shared" si="3"/>
        <v>OV-03</v>
      </c>
      <c r="H23" s="3"/>
    </row>
    <row r="24" ht="15.75" customHeight="1"/>
    <row r="25" ht="15.75" customHeight="1">
      <c r="A25" s="1" t="s">
        <v>50</v>
      </c>
      <c r="B25" s="2"/>
      <c r="C25" s="2"/>
      <c r="D25" s="2"/>
      <c r="E25" s="2"/>
      <c r="F25" s="3"/>
      <c r="H25" s="1" t="s">
        <v>49</v>
      </c>
      <c r="I25" s="2"/>
      <c r="J25" s="2"/>
      <c r="K25" s="2"/>
      <c r="L25" s="2"/>
      <c r="M25" s="3"/>
    </row>
    <row r="26" ht="15.75" customHeight="1">
      <c r="A26" s="5" t="s">
        <v>8</v>
      </c>
      <c r="B26" s="5" t="s">
        <v>60</v>
      </c>
      <c r="C26" s="17" t="s">
        <v>61</v>
      </c>
      <c r="D26" s="3"/>
      <c r="E26" s="5" t="s">
        <v>37</v>
      </c>
      <c r="F26" s="5" t="s">
        <v>131</v>
      </c>
      <c r="H26" s="5" t="s">
        <v>8</v>
      </c>
      <c r="I26" s="5" t="s">
        <v>57</v>
      </c>
      <c r="J26" s="5" t="s">
        <v>58</v>
      </c>
      <c r="K26" s="5" t="s">
        <v>59</v>
      </c>
      <c r="L26" s="1" t="s">
        <v>127</v>
      </c>
      <c r="M26" s="3"/>
    </row>
    <row r="27">
      <c r="A27" s="33" t="s">
        <v>132</v>
      </c>
      <c r="B27" s="34">
        <v>45394.0</v>
      </c>
      <c r="C27" s="21">
        <v>30.0</v>
      </c>
      <c r="D27" s="3"/>
      <c r="E27" s="23" t="s">
        <v>133</v>
      </c>
      <c r="F27" s="35">
        <f t="shared" ref="F27:F29" si="4">A34</f>
        <v>95744285</v>
      </c>
      <c r="H27" s="33" t="s">
        <v>134</v>
      </c>
      <c r="I27" s="36">
        <v>0.3333333333333333</v>
      </c>
      <c r="J27" s="36">
        <v>0.75</v>
      </c>
      <c r="K27" s="26" t="s">
        <v>65</v>
      </c>
      <c r="L27" s="37" t="str">
        <f t="shared" ref="L27:L29" si="5">A27</f>
        <v>OV-01</v>
      </c>
      <c r="M27" s="3"/>
    </row>
    <row r="28">
      <c r="A28" s="33" t="s">
        <v>135</v>
      </c>
      <c r="B28" s="34">
        <v>45448.0</v>
      </c>
      <c r="C28" s="21">
        <v>60.0</v>
      </c>
      <c r="D28" s="3"/>
      <c r="E28" s="23" t="s">
        <v>136</v>
      </c>
      <c r="F28" s="35">
        <f t="shared" si="4"/>
        <v>13757619</v>
      </c>
      <c r="H28" s="33" t="s">
        <v>137</v>
      </c>
      <c r="I28" s="36">
        <v>0.4583333333333333</v>
      </c>
      <c r="J28" s="36">
        <v>0.7083333333333334</v>
      </c>
      <c r="K28" s="26" t="s">
        <v>65</v>
      </c>
      <c r="L28" s="37" t="str">
        <f t="shared" si="5"/>
        <v>OV-02</v>
      </c>
      <c r="M28" s="3"/>
    </row>
    <row r="29">
      <c r="A29" s="33" t="s">
        <v>138</v>
      </c>
      <c r="B29" s="34">
        <v>45501.0</v>
      </c>
      <c r="C29" s="21">
        <v>85.0</v>
      </c>
      <c r="D29" s="3"/>
      <c r="E29" s="23" t="s">
        <v>139</v>
      </c>
      <c r="F29" s="35">
        <f t="shared" si="4"/>
        <v>18454667</v>
      </c>
      <c r="H29" s="33" t="s">
        <v>140</v>
      </c>
      <c r="I29" s="36">
        <v>0.3541666666666667</v>
      </c>
      <c r="J29" s="36">
        <v>0.6458333333333334</v>
      </c>
      <c r="K29" s="26" t="s">
        <v>73</v>
      </c>
      <c r="L29" s="37" t="str">
        <f t="shared" si="5"/>
        <v>OV-03</v>
      </c>
      <c r="M29" s="3"/>
    </row>
    <row r="30" ht="15.75" customHeight="1">
      <c r="A30" s="15"/>
      <c r="B30" s="38"/>
      <c r="C30" s="39"/>
      <c r="D30" s="39"/>
      <c r="E30" s="16"/>
      <c r="F30" s="40"/>
      <c r="H30" s="15"/>
      <c r="I30" s="41"/>
      <c r="J30" s="41"/>
      <c r="K30" s="15"/>
      <c r="L30" s="42"/>
      <c r="M30" s="42"/>
    </row>
    <row r="31" ht="15.75" customHeight="1">
      <c r="A31" s="15"/>
      <c r="B31" s="38"/>
      <c r="C31" s="39"/>
      <c r="D31" s="39"/>
      <c r="E31" s="16"/>
      <c r="F31" s="40"/>
      <c r="H31" s="43" t="s">
        <v>141</v>
      </c>
      <c r="I31" s="2"/>
      <c r="J31" s="3"/>
      <c r="K31" s="15"/>
      <c r="L31" s="42"/>
      <c r="M31" s="42"/>
    </row>
    <row r="32" ht="15.75" customHeight="1">
      <c r="A32" s="1" t="s">
        <v>85</v>
      </c>
      <c r="B32" s="2"/>
      <c r="C32" s="2"/>
      <c r="D32" s="3"/>
      <c r="E32" s="16"/>
      <c r="F32" s="40"/>
      <c r="H32" s="44" t="s">
        <v>142</v>
      </c>
      <c r="I32" s="45" t="s">
        <v>143</v>
      </c>
      <c r="J32" s="46"/>
      <c r="K32" s="15"/>
      <c r="L32" s="42"/>
      <c r="M32" s="42"/>
    </row>
    <row r="33" ht="15.75" customHeight="1">
      <c r="A33" s="5" t="s">
        <v>3</v>
      </c>
      <c r="B33" s="5" t="s">
        <v>90</v>
      </c>
      <c r="C33" s="5" t="s">
        <v>91</v>
      </c>
      <c r="D33" s="5" t="s">
        <v>92</v>
      </c>
      <c r="E33" s="16"/>
      <c r="F33" s="40"/>
      <c r="H33" s="33" t="str">
        <f t="shared" ref="H33:H35" si="6">H27</f>
        <v>OP-01</v>
      </c>
      <c r="I33" s="47" t="str">
        <f t="shared" ref="I33:I35" si="7">H39</f>
        <v>MP-001</v>
      </c>
      <c r="J33" s="3"/>
      <c r="K33" s="42"/>
    </row>
    <row r="34" ht="15.75" customHeight="1">
      <c r="A34" s="7">
        <v>9.5744285E7</v>
      </c>
      <c r="B34" s="7" t="s">
        <v>97</v>
      </c>
      <c r="C34" s="7">
        <v>3.129068309E9</v>
      </c>
      <c r="D34" s="7" t="s">
        <v>98</v>
      </c>
      <c r="E34" s="16"/>
      <c r="F34" s="40"/>
      <c r="H34" s="33" t="str">
        <f t="shared" si="6"/>
        <v>OP-02</v>
      </c>
      <c r="I34" s="47" t="str">
        <f t="shared" si="7"/>
        <v>MP-002</v>
      </c>
      <c r="J34" s="3"/>
      <c r="K34" s="42"/>
    </row>
    <row r="35" ht="15.75" customHeight="1">
      <c r="A35" s="7">
        <v>1.3757619E7</v>
      </c>
      <c r="B35" s="7" t="s">
        <v>102</v>
      </c>
      <c r="C35" s="7">
        <v>3.276649041E9</v>
      </c>
      <c r="D35" s="7" t="s">
        <v>103</v>
      </c>
      <c r="E35" s="16"/>
      <c r="F35" s="40"/>
      <c r="H35" s="33" t="str">
        <f t="shared" si="6"/>
        <v>OP-03</v>
      </c>
      <c r="I35" s="47" t="str">
        <f t="shared" si="7"/>
        <v>MP-003</v>
      </c>
      <c r="J35" s="3"/>
      <c r="K35" s="42"/>
    </row>
    <row r="36" ht="15.75" customHeight="1">
      <c r="A36" s="7">
        <v>1.8454667E7</v>
      </c>
      <c r="B36" s="7" t="s">
        <v>104</v>
      </c>
      <c r="C36" s="7">
        <v>3.272226969E9</v>
      </c>
      <c r="D36" s="7" t="s">
        <v>105</v>
      </c>
      <c r="I36" s="48"/>
    </row>
    <row r="37" ht="15.75" customHeight="1">
      <c r="H37" s="1" t="s">
        <v>48</v>
      </c>
      <c r="I37" s="2"/>
      <c r="J37" s="2"/>
      <c r="K37" s="2"/>
      <c r="L37" s="2"/>
      <c r="M37" s="2"/>
      <c r="N37" s="2"/>
      <c r="O37" s="3"/>
    </row>
    <row r="38" ht="15.75" customHeight="1">
      <c r="H38" s="5" t="s">
        <v>8</v>
      </c>
      <c r="I38" s="5" t="s">
        <v>51</v>
      </c>
      <c r="J38" s="5" t="s">
        <v>52</v>
      </c>
      <c r="K38" s="5" t="s">
        <v>53</v>
      </c>
      <c r="L38" s="5" t="s">
        <v>54</v>
      </c>
      <c r="M38" s="5" t="s">
        <v>55</v>
      </c>
      <c r="N38" s="17" t="s">
        <v>56</v>
      </c>
      <c r="O38" s="3"/>
    </row>
    <row r="39" ht="15.75" customHeight="1">
      <c r="H39" s="7" t="s">
        <v>144</v>
      </c>
      <c r="I39" s="9" t="s">
        <v>62</v>
      </c>
      <c r="J39" s="9">
        <v>10.0</v>
      </c>
      <c r="K39" s="9" t="s">
        <v>63</v>
      </c>
      <c r="L39" s="7">
        <v>18904.94</v>
      </c>
      <c r="M39" s="9" t="s">
        <v>63</v>
      </c>
      <c r="N39" s="18" t="s">
        <v>64</v>
      </c>
      <c r="O39" s="19"/>
    </row>
    <row r="40" ht="15.75" customHeight="1">
      <c r="H40" s="7" t="s">
        <v>145</v>
      </c>
      <c r="I40" s="9" t="s">
        <v>67</v>
      </c>
      <c r="J40" s="9">
        <v>30.0</v>
      </c>
      <c r="K40" s="7">
        <v>7.35</v>
      </c>
      <c r="L40" s="7">
        <v>47549.7</v>
      </c>
      <c r="M40" s="9" t="s">
        <v>68</v>
      </c>
      <c r="N40" s="18" t="s">
        <v>69</v>
      </c>
      <c r="O40" s="19"/>
    </row>
    <row r="41" ht="15.75" customHeight="1">
      <c r="H41" s="7" t="s">
        <v>146</v>
      </c>
      <c r="I41" s="9" t="s">
        <v>71</v>
      </c>
      <c r="J41" s="9">
        <v>100.0</v>
      </c>
      <c r="K41" s="9" t="s">
        <v>63</v>
      </c>
      <c r="L41" s="7">
        <v>14595.94</v>
      </c>
      <c r="M41" s="9" t="s">
        <v>63</v>
      </c>
      <c r="N41" s="18" t="s">
        <v>72</v>
      </c>
      <c r="O41" s="19"/>
    </row>
    <row r="42" ht="15.75" customHeight="1"/>
    <row r="43" ht="15.75" customHeight="1"/>
    <row r="44" ht="15.75" customHeight="1">
      <c r="A44" s="1" t="s">
        <v>75</v>
      </c>
      <c r="B44" s="2"/>
      <c r="C44" s="2"/>
      <c r="D44" s="2"/>
      <c r="E44" s="3"/>
      <c r="F44" s="49"/>
      <c r="H44" s="1" t="s">
        <v>76</v>
      </c>
      <c r="I44" s="2"/>
      <c r="J44" s="2"/>
      <c r="K44" s="2"/>
      <c r="L44" s="2"/>
      <c r="M44" s="2"/>
      <c r="N44" s="2"/>
      <c r="O44" s="3"/>
      <c r="Q44" s="1" t="s">
        <v>77</v>
      </c>
      <c r="R44" s="2"/>
      <c r="S44" s="2"/>
      <c r="T44" s="3"/>
    </row>
    <row r="45" ht="15.75" customHeight="1">
      <c r="A45" s="5" t="s">
        <v>78</v>
      </c>
      <c r="B45" s="17" t="s">
        <v>79</v>
      </c>
      <c r="C45" s="3"/>
      <c r="D45" s="17" t="s">
        <v>80</v>
      </c>
      <c r="E45" s="3"/>
      <c r="F45" s="50" t="s">
        <v>147</v>
      </c>
      <c r="H45" s="5" t="s">
        <v>8</v>
      </c>
      <c r="I45" s="5" t="s">
        <v>81</v>
      </c>
      <c r="J45" s="5" t="s">
        <v>82</v>
      </c>
      <c r="K45" s="5" t="s">
        <v>83</v>
      </c>
      <c r="L45" s="5" t="s">
        <v>84</v>
      </c>
      <c r="M45" s="51" t="s">
        <v>148</v>
      </c>
      <c r="N45" s="51"/>
      <c r="O45" s="5" t="s">
        <v>149</v>
      </c>
      <c r="Q45" s="5" t="s">
        <v>8</v>
      </c>
      <c r="R45" s="17" t="s">
        <v>52</v>
      </c>
      <c r="S45" s="3"/>
      <c r="T45" s="5" t="s">
        <v>55</v>
      </c>
    </row>
    <row r="46" ht="15.75" customHeight="1">
      <c r="A46" s="26" t="s">
        <v>86</v>
      </c>
      <c r="B46" s="52"/>
      <c r="C46" s="3"/>
      <c r="D46" s="52">
        <v>440.0</v>
      </c>
      <c r="E46" s="3"/>
      <c r="F46" s="53" t="str">
        <f t="shared" ref="F46:F48" si="8">H46</f>
        <v>MI-01</v>
      </c>
      <c r="H46" s="26" t="s">
        <v>150</v>
      </c>
      <c r="I46" s="34">
        <v>45597.0</v>
      </c>
      <c r="J46" s="34">
        <v>45893.0</v>
      </c>
      <c r="K46" s="26" t="s">
        <v>88</v>
      </c>
      <c r="L46" s="26">
        <v>284831.29</v>
      </c>
      <c r="M46" s="54" t="str">
        <f t="shared" ref="M46:M48" si="9">H39</f>
        <v>MP-001</v>
      </c>
      <c r="N46" s="3"/>
      <c r="O46" s="53" t="str">
        <f t="shared" ref="O46:O48" si="10">Q46</f>
        <v>PF-001</v>
      </c>
      <c r="Q46" s="7" t="s">
        <v>151</v>
      </c>
      <c r="R46" s="55">
        <v>21.0</v>
      </c>
      <c r="S46" s="3"/>
      <c r="T46" s="7" t="s">
        <v>89</v>
      </c>
    </row>
    <row r="47" ht="15.75" customHeight="1">
      <c r="A47" s="26" t="s">
        <v>93</v>
      </c>
      <c r="B47" s="52"/>
      <c r="C47" s="3"/>
      <c r="D47" s="52">
        <v>540.0</v>
      </c>
      <c r="E47" s="3"/>
      <c r="F47" s="53" t="str">
        <f t="shared" si="8"/>
        <v>MI-02</v>
      </c>
      <c r="H47" s="26" t="s">
        <v>152</v>
      </c>
      <c r="I47" s="34">
        <v>45666.0</v>
      </c>
      <c r="J47" s="34">
        <v>46067.0</v>
      </c>
      <c r="K47" s="26" t="s">
        <v>95</v>
      </c>
      <c r="L47" s="26">
        <v>70633.42</v>
      </c>
      <c r="M47" s="54" t="str">
        <f t="shared" si="9"/>
        <v>MP-002</v>
      </c>
      <c r="N47" s="3"/>
      <c r="O47" s="53" t="str">
        <f t="shared" si="10"/>
        <v>PF-002</v>
      </c>
      <c r="Q47" s="7" t="s">
        <v>153</v>
      </c>
      <c r="R47" s="55">
        <v>2.0</v>
      </c>
      <c r="S47" s="3"/>
      <c r="T47" s="7" t="s">
        <v>96</v>
      </c>
    </row>
    <row r="48" ht="15.75" customHeight="1">
      <c r="A48" s="26" t="s">
        <v>99</v>
      </c>
      <c r="B48" s="52"/>
      <c r="C48" s="3"/>
      <c r="D48" s="52">
        <v>55.0</v>
      </c>
      <c r="E48" s="3"/>
      <c r="F48" s="53" t="str">
        <f t="shared" si="8"/>
        <v>MI-03</v>
      </c>
      <c r="H48" s="26" t="s">
        <v>154</v>
      </c>
      <c r="I48" s="34">
        <v>45505.0</v>
      </c>
      <c r="J48" s="34">
        <v>45908.0</v>
      </c>
      <c r="K48" s="26" t="s">
        <v>88</v>
      </c>
      <c r="L48" s="26">
        <v>156344.26</v>
      </c>
      <c r="M48" s="54" t="str">
        <f t="shared" si="9"/>
        <v>MP-003</v>
      </c>
      <c r="N48" s="3"/>
      <c r="O48" s="53" t="str">
        <f t="shared" si="10"/>
        <v>PF-003</v>
      </c>
      <c r="Q48" s="7" t="s">
        <v>155</v>
      </c>
      <c r="R48" s="55">
        <v>11.0</v>
      </c>
      <c r="S48" s="3"/>
      <c r="T48" s="7" t="s">
        <v>101</v>
      </c>
    </row>
    <row r="49" ht="15.75" customHeight="1">
      <c r="A49" s="15"/>
      <c r="B49" s="15"/>
      <c r="C49" s="15"/>
      <c r="D49" s="15"/>
      <c r="E49" s="15"/>
      <c r="F49" s="56"/>
      <c r="H49" s="15"/>
      <c r="I49" s="38"/>
      <c r="J49" s="38"/>
      <c r="K49" s="15"/>
      <c r="L49" s="15"/>
      <c r="M49" s="57"/>
      <c r="N49" s="57"/>
      <c r="O49" s="56"/>
      <c r="Q49" s="15"/>
      <c r="R49" s="15"/>
      <c r="S49" s="15"/>
      <c r="T49" s="15"/>
    </row>
    <row r="50" ht="15.75" customHeight="1"/>
    <row r="51" ht="15.75" customHeight="1">
      <c r="H51" s="1" t="s">
        <v>106</v>
      </c>
      <c r="I51" s="2"/>
      <c r="J51" s="2"/>
      <c r="K51" s="3"/>
      <c r="M51" s="58" t="s">
        <v>156</v>
      </c>
      <c r="N51" s="2"/>
      <c r="O51" s="3"/>
    </row>
    <row r="52" ht="15.75" customHeight="1">
      <c r="H52" s="59" t="s">
        <v>8</v>
      </c>
      <c r="I52" s="60" t="s">
        <v>37</v>
      </c>
      <c r="J52" s="61" t="s">
        <v>147</v>
      </c>
      <c r="K52" s="62"/>
      <c r="M52" s="49" t="s">
        <v>157</v>
      </c>
      <c r="N52" s="49"/>
      <c r="O52" s="49" t="s">
        <v>158</v>
      </c>
    </row>
    <row r="53" ht="15.75" customHeight="1">
      <c r="H53" s="63" t="s">
        <v>159</v>
      </c>
      <c r="I53" s="64" t="s">
        <v>160</v>
      </c>
      <c r="J53" s="37" t="str">
        <f t="shared" ref="J53:J57" si="11">H46</f>
        <v>MI-01</v>
      </c>
      <c r="K53" s="3"/>
      <c r="M53" s="37" t="str">
        <f t="shared" ref="M53:M57" si="12">H46</f>
        <v>MI-01</v>
      </c>
      <c r="N53" s="3"/>
      <c r="O53" s="65">
        <f t="shared" ref="O53:O57" si="13">M61</f>
        <v>24635</v>
      </c>
    </row>
    <row r="54" ht="15.75" customHeight="1">
      <c r="H54" s="63" t="s">
        <v>161</v>
      </c>
      <c r="I54" s="66" t="s">
        <v>113</v>
      </c>
      <c r="J54" s="37" t="str">
        <f t="shared" si="11"/>
        <v>MI-02</v>
      </c>
      <c r="K54" s="3"/>
      <c r="M54" s="37" t="str">
        <f t="shared" si="12"/>
        <v>MI-02</v>
      </c>
      <c r="N54" s="3"/>
      <c r="O54" s="65">
        <f t="shared" si="13"/>
        <v>89456</v>
      </c>
    </row>
    <row r="55" ht="26.25" customHeight="1">
      <c r="H55" s="63" t="s">
        <v>162</v>
      </c>
      <c r="I55" s="66" t="s">
        <v>116</v>
      </c>
      <c r="J55" s="37" t="str">
        <f t="shared" si="11"/>
        <v>MI-03</v>
      </c>
      <c r="K55" s="3"/>
      <c r="M55" s="37" t="str">
        <f t="shared" si="12"/>
        <v>MI-03</v>
      </c>
      <c r="N55" s="3"/>
      <c r="O55" s="65">
        <f t="shared" si="13"/>
        <v>27546</v>
      </c>
    </row>
    <row r="56" ht="23.25" customHeight="1">
      <c r="H56" s="63" t="s">
        <v>163</v>
      </c>
      <c r="I56" s="66" t="s">
        <v>119</v>
      </c>
      <c r="J56" s="37" t="str">
        <f t="shared" si="11"/>
        <v/>
      </c>
      <c r="K56" s="3"/>
      <c r="M56" s="37" t="str">
        <f t="shared" si="12"/>
        <v/>
      </c>
      <c r="N56" s="3"/>
      <c r="O56" s="65" t="str">
        <f t="shared" si="13"/>
        <v/>
      </c>
    </row>
    <row r="57" ht="15.75" customHeight="1">
      <c r="H57" s="63" t="s">
        <v>164</v>
      </c>
      <c r="I57" s="67" t="s">
        <v>120</v>
      </c>
      <c r="J57" s="37" t="str">
        <f t="shared" si="11"/>
        <v/>
      </c>
      <c r="K57" s="3"/>
      <c r="M57" s="37" t="str">
        <f t="shared" si="12"/>
        <v/>
      </c>
      <c r="N57" s="3"/>
      <c r="O57" s="65" t="str">
        <f t="shared" si="13"/>
        <v/>
      </c>
    </row>
    <row r="58" ht="15.75" customHeight="1"/>
    <row r="59" ht="15.75" customHeight="1">
      <c r="M59" s="1" t="s">
        <v>107</v>
      </c>
      <c r="N59" s="2"/>
      <c r="O59" s="2"/>
      <c r="P59" s="3"/>
    </row>
    <row r="60" ht="15.75" customHeight="1">
      <c r="M60" s="5" t="s">
        <v>8</v>
      </c>
      <c r="N60" s="5" t="s">
        <v>108</v>
      </c>
      <c r="O60" s="5" t="s">
        <v>109</v>
      </c>
      <c r="P60" s="5" t="s">
        <v>91</v>
      </c>
    </row>
    <row r="61" ht="15.75" customHeight="1">
      <c r="M61" s="35">
        <v>24635.0</v>
      </c>
      <c r="N61" s="35" t="s">
        <v>111</v>
      </c>
      <c r="O61" s="35" t="s">
        <v>112</v>
      </c>
      <c r="P61" s="35">
        <v>3.136132195E9</v>
      </c>
    </row>
    <row r="62" ht="15.75" customHeight="1">
      <c r="M62" s="35">
        <v>89456.0</v>
      </c>
      <c r="N62" s="35" t="s">
        <v>114</v>
      </c>
      <c r="O62" s="35" t="s">
        <v>115</v>
      </c>
      <c r="P62" s="35">
        <v>3.20338419E9</v>
      </c>
    </row>
    <row r="63" ht="15.75" customHeight="1">
      <c r="M63" s="35">
        <v>27546.0</v>
      </c>
      <c r="N63" s="35" t="s">
        <v>117</v>
      </c>
      <c r="O63" s="35" t="s">
        <v>118</v>
      </c>
      <c r="P63" s="35">
        <v>3.13517774E9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B48:C48"/>
    <mergeCell ref="D48:E48"/>
    <mergeCell ref="C29:D29"/>
    <mergeCell ref="A32:D32"/>
    <mergeCell ref="A44:E44"/>
    <mergeCell ref="B45:C45"/>
    <mergeCell ref="D45:E45"/>
    <mergeCell ref="B46:C46"/>
    <mergeCell ref="D46:E46"/>
    <mergeCell ref="J55:K55"/>
    <mergeCell ref="J56:K56"/>
    <mergeCell ref="M56:N56"/>
    <mergeCell ref="J57:K57"/>
    <mergeCell ref="M57:N57"/>
    <mergeCell ref="M59:P59"/>
    <mergeCell ref="H51:K51"/>
    <mergeCell ref="J52:K52"/>
    <mergeCell ref="J53:K53"/>
    <mergeCell ref="M53:N53"/>
    <mergeCell ref="J54:K54"/>
    <mergeCell ref="M54:N54"/>
    <mergeCell ref="M55:N55"/>
    <mergeCell ref="A1:E1"/>
    <mergeCell ref="A7:G7"/>
    <mergeCell ref="A13:D13"/>
    <mergeCell ref="A19:H19"/>
    <mergeCell ref="G20:H20"/>
    <mergeCell ref="G21:H21"/>
    <mergeCell ref="G22:H22"/>
    <mergeCell ref="L27:M27"/>
    <mergeCell ref="L28:M28"/>
    <mergeCell ref="L26:M26"/>
    <mergeCell ref="L29:M29"/>
    <mergeCell ref="G23:H23"/>
    <mergeCell ref="A25:F25"/>
    <mergeCell ref="H25:M25"/>
    <mergeCell ref="C26:D26"/>
    <mergeCell ref="C27:D27"/>
    <mergeCell ref="C28:D28"/>
    <mergeCell ref="H31:J31"/>
    <mergeCell ref="N39:O39"/>
    <mergeCell ref="N40:O40"/>
    <mergeCell ref="N41:O41"/>
    <mergeCell ref="H44:O44"/>
    <mergeCell ref="Q44:T44"/>
    <mergeCell ref="R45:S45"/>
    <mergeCell ref="M46:N46"/>
    <mergeCell ref="R46:S46"/>
    <mergeCell ref="I32:J32"/>
    <mergeCell ref="I33:J33"/>
    <mergeCell ref="I34:J34"/>
    <mergeCell ref="I35:J35"/>
    <mergeCell ref="I36:J36"/>
    <mergeCell ref="H37:O37"/>
    <mergeCell ref="N38:O38"/>
    <mergeCell ref="B47:C47"/>
    <mergeCell ref="D47:E47"/>
    <mergeCell ref="M47:N47"/>
    <mergeCell ref="R47:S47"/>
    <mergeCell ref="M48:N48"/>
    <mergeCell ref="R48:S48"/>
    <mergeCell ref="M51:O5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